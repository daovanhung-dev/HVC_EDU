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EU_KHIEN" sheetId="1" r:id="rId5"/>
    <sheet state="visible" name="DANH_MUC_LOP" sheetId="2" r:id="rId6"/>
    <sheet state="visible" name="THUONG_HOC_SINH" sheetId="3" r:id="rId7"/>
    <sheet state="visible" name="THU_CHI" sheetId="4" r:id="rId8"/>
    <sheet state="visible" name="CHUYEN_THANG" sheetId="5" r:id="rId9"/>
    <sheet state="visible" name="LUONG_GIANG_VIEN" sheetId="6" r:id="rId10"/>
    <sheet state="visible" name="KT_01" sheetId="7" r:id="rId11"/>
    <sheet state="visible" name="KT_02" sheetId="8" r:id="rId12"/>
    <sheet state="visible" name="KT_03" sheetId="9" r:id="rId13"/>
    <sheet state="visible" name="KT_04" sheetId="10" r:id="rId14"/>
    <sheet state="visible" name="KT_05" sheetId="11" r:id="rId15"/>
    <sheet state="visible" name="KT_06" sheetId="12" r:id="rId16"/>
    <sheet state="visible" name="KT_07" sheetId="13" r:id="rId17"/>
    <sheet state="visible" name="KT_08" sheetId="14" r:id="rId18"/>
    <sheet state="visible" name="KT_09" sheetId="15" r:id="rId19"/>
    <sheet state="visible" name="KT_10" sheetId="16" r:id="rId20"/>
    <sheet state="visible" name="KT_11" sheetId="17" r:id="rId21"/>
    <sheet state="visible" name="KT_12" sheetId="18" r:id="rId22"/>
    <sheet state="visible" name="TONG_HOP_LOP" sheetId="19" r:id="rId23"/>
    <sheet state="visible" name="QUY_CHIA" sheetId="20" r:id="rId24"/>
    <sheet state="visible" name="TONG_QUAN" sheetId="21" r:id="rId25"/>
    <sheet state="visible" name="KIEM_TRA_HE_THONG" sheetId="22" r:id="rId26"/>
    <sheet state="visible" name="HS_HUONG_DAN" sheetId="23" r:id="rId27"/>
    <sheet state="visible" name="DANH_SACH_LOP" sheetId="24" r:id="rId28"/>
    <sheet state="visible" name="LOP_01" sheetId="25" r:id="rId29"/>
    <sheet state="visible" name="LOP_02" sheetId="26" r:id="rId30"/>
    <sheet state="visible" name="LOP_03" sheetId="27" r:id="rId31"/>
    <sheet state="visible" name="LOP_04" sheetId="28" r:id="rId32"/>
    <sheet state="visible" name="LOP_05" sheetId="29" r:id="rId33"/>
    <sheet state="visible" name="LOP_06" sheetId="30" r:id="rId34"/>
    <sheet state="visible" name="LOP_07" sheetId="31" r:id="rId35"/>
    <sheet state="visible" name="LOP_08" sheetId="32" r:id="rId36"/>
    <sheet state="visible" name="LOP_09" sheetId="33" r:id="rId37"/>
    <sheet state="visible" name="LOP_10" sheetId="34" r:id="rId38"/>
    <sheet state="visible" name="LOP_11" sheetId="35" r:id="rId39"/>
    <sheet state="visible" name="LOP_12" sheetId="36" r:id="rId40"/>
    <sheet state="visible" name="HS_KIEM_TRA" sheetId="37" r:id="rId41"/>
    <sheet state="visible" name="GV_HUONG_DAN" sheetId="38" r:id="rId42"/>
    <sheet state="visible" name="GIANG_VIEN" sheetId="39" r:id="rId43"/>
    <sheet state="visible" name="PHAN_CONG" sheetId="40" r:id="rId44"/>
    <sheet state="visible" name="GV_KIEM_TRA" sheetId="41" r:id="rId45"/>
  </sheets>
  <definedNames/>
  <calcPr/>
</workbook>
</file>

<file path=xl/sharedStrings.xml><?xml version="1.0" encoding="utf-8"?>
<sst xmlns="http://schemas.openxmlformats.org/spreadsheetml/2006/main" count="2052" uniqueCount="415">
  <si>
    <t>DANH MỤC LỚP - CẤU HÌNH TRUNG TÂM</t>
  </si>
  <si>
    <t>THƯỞNG HỌC SINH</t>
  </si>
  <si>
    <t>TRUNG TÂM LUYỆN THI - ĐIỀU KHIỂN KẾ TOÁN</t>
  </si>
  <si>
    <t>THU / CHI KHÁC</t>
  </si>
  <si>
    <t>Thiết lập</t>
  </si>
  <si>
    <t>Ngày</t>
  </si>
  <si>
    <t>Giá trị</t>
  </si>
  <si>
    <t>QUY TRÌNH THÁNG MỚI</t>
  </si>
  <si>
    <t>Loại</t>
  </si>
  <si>
    <t>Nhóm</t>
  </si>
  <si>
    <t>Mã lớp</t>
  </si>
  <si>
    <t>Nội dung</t>
  </si>
  <si>
    <t>Số tiền</t>
  </si>
  <si>
    <t>Slot</t>
  </si>
  <si>
    <t>Mã HS</t>
  </si>
  <si>
    <t>Ghi chú</t>
  </si>
  <si>
    <t>Họ tên</t>
  </si>
  <si>
    <t>Tiền thưởng</t>
  </si>
  <si>
    <t>Lý do</t>
  </si>
  <si>
    <t>Tên lớp</t>
  </si>
  <si>
    <t>Tháng làm việc</t>
  </si>
  <si>
    <t>Khối</t>
  </si>
  <si>
    <t>Môn</t>
  </si>
  <si>
    <t>Học phí/buổi</t>
  </si>
  <si>
    <t>T2</t>
  </si>
  <si>
    <t>T3</t>
  </si>
  <si>
    <t>T4</t>
  </si>
  <si>
    <t>T5</t>
  </si>
  <si>
    <t>T6</t>
  </si>
  <si>
    <t>T7</t>
  </si>
  <si>
    <t>CN</t>
  </si>
  <si>
    <t>Cách thu</t>
  </si>
  <si>
    <t>% lương GV</t>
  </si>
  <si>
    <t>Trạng thái</t>
  </si>
  <si>
    <t>Số buổi kế hoạch</t>
  </si>
  <si>
    <t>GV chính</t>
  </si>
  <si>
    <t>Nhập tháng làm việc tại B4 (ngày đầu tháng, ví dụ 01/08/2026)</t>
  </si>
  <si>
    <t>Chi</t>
  </si>
  <si>
    <t>Trợ giảng</t>
  </si>
  <si>
    <t>% trích quỹ</t>
  </si>
  <si>
    <t>L06</t>
  </si>
  <si>
    <t>Lớp 6 Thầy Cường</t>
  </si>
  <si>
    <t>Giữ 01_HocSinh.xlsx, 02_GiangVien.xlsx, 03_KeToan.xlsx trong cùng một thư mục</t>
  </si>
  <si>
    <t>Toán</t>
  </si>
  <si>
    <t>% lương GV mặc định</t>
  </si>
  <si>
    <t>Mở 03_KeToan.xlsx trước, sau đó mở 01_HocSinh.xlsx và 02_GiangVien.xlsx; cho phép Update Links</t>
  </si>
  <si>
    <t>Nguyễn Mạnh Cường</t>
  </si>
  <si>
    <t>CHUYEN_THANG: chép Giảm chuyển tháng sau → Giảm từ tháng trước</t>
  </si>
  <si>
    <t>Đào Văn Hùng</t>
  </si>
  <si>
    <t>Không</t>
  </si>
  <si>
    <t>Xóa điểm danh cũ + buổi GV dạy cũ khi tạo tháng mới</t>
  </si>
  <si>
    <t>Quỹ đầu kỳ</t>
  </si>
  <si>
    <t>Có</t>
  </si>
  <si>
    <t>Xóa Đã thu / thưởng-phạt / thu-chi cũ khi tạo tháng mới</t>
  </si>
  <si>
    <t>Chi từ quỹ</t>
  </si>
  <si>
    <t>Kiểm tra KIEM_TRA_HE_THONG và TONG_QUAN trước khi vận hành</t>
  </si>
  <si>
    <t>Theo buổi</t>
  </si>
  <si>
    <t>Hoạt động</t>
  </si>
  <si>
    <t>Nguồn T8 rõ 1 buổi; chưa có dữ liệu thứ học</t>
  </si>
  <si>
    <t>Nguyễn Hà Anh</t>
  </si>
  <si>
    <t>L07</t>
  </si>
  <si>
    <t>Toán 7 Thầy Cường</t>
  </si>
  <si>
    <t>T8: chỉ lấy block có nhận xét thực tế; chưa rõ thứ học</t>
  </si>
  <si>
    <t>LỚP 9 - GIẢM HỌC PHÍ CHUYỂN THÁNG</t>
  </si>
  <si>
    <t>Giảm từ tháng trước</t>
  </si>
  <si>
    <t>Giảm chuyển tháng sau</t>
  </si>
  <si>
    <t>L09</t>
  </si>
  <si>
    <t>HS09-004</t>
  </si>
  <si>
    <t>Anh Trọng</t>
  </si>
  <si>
    <t>Đào Quang Duy</t>
  </si>
  <si>
    <t>L08</t>
  </si>
  <si>
    <t>Toán 8 Thầy Cường</t>
  </si>
  <si>
    <t>Chưa có điểm danh T8 đủ bằng chứng</t>
  </si>
  <si>
    <t>HS09-007</t>
  </si>
  <si>
    <t>Quân</t>
  </si>
  <si>
    <t>LƯƠNG GIẢNG VIÊN - % DOANH THU THEO LỚP</t>
  </si>
  <si>
    <t>Tháng</t>
  </si>
  <si>
    <t>Mã GV</t>
  </si>
  <si>
    <t>Buổi GV dạy</t>
  </si>
  <si>
    <t>Buổi của lớp</t>
  </si>
  <si>
    <t>Doanh thu thực thu lớp</t>
  </si>
  <si>
    <t>% mặc định</t>
  </si>
  <si>
    <t>% điều chỉnh</t>
  </si>
  <si>
    <t>% áp dụng</t>
  </si>
  <si>
    <t>Tỷ lệ buổi</t>
  </si>
  <si>
    <t>Lương cơ sở</t>
  </si>
  <si>
    <t>Thưởng</t>
  </si>
  <si>
    <t>Phạt</t>
  </si>
  <si>
    <t>Thực nhận</t>
  </si>
  <si>
    <t>Đào Phương Anh</t>
  </si>
  <si>
    <t>Toán 9 Thầy Cường</t>
  </si>
  <si>
    <t>Thu trước</t>
  </si>
  <si>
    <t>Nguồn ghi 9 buổi T8 dự tính; chưa rõ thứ học</t>
  </si>
  <si>
    <t>Chưa dùng</t>
  </si>
  <si>
    <t>KẾ TOÁN LỚP - SLOT 01</t>
  </si>
  <si>
    <t>Chỉ số</t>
  </si>
  <si>
    <t>Theo dõi</t>
  </si>
  <si>
    <t>Còn nợ</t>
  </si>
  <si>
    <t>Số buổi lịch</t>
  </si>
  <si>
    <t>Thưởng HS lớp</t>
  </si>
  <si>
    <t>Sĩ số</t>
  </si>
  <si>
    <t>Tổng phải thu</t>
  </si>
  <si>
    <t>Đã thu</t>
  </si>
  <si>
    <t>Dữ liệu T8: 17 HS, 1 buổi rõ trong nguồn.</t>
  </si>
  <si>
    <t>Buổi học</t>
  </si>
  <si>
    <t>Buổi nghỉ</t>
  </si>
  <si>
    <t>Đơn giá</t>
  </si>
  <si>
    <t>Học phí gốc</t>
  </si>
  <si>
    <t>Phải thu</t>
  </si>
  <si>
    <t>Ngày thu</t>
  </si>
  <si>
    <t>Nợ đầu kỳ</t>
  </si>
  <si>
    <t>Phải thu xác nhận</t>
  </si>
  <si>
    <t>KẾ TOÁN LỚP - SLOT 02</t>
  </si>
  <si>
    <t>Dữ liệu T8: roster 12 HS; 1 block điểm danh thực tế được lấy.</t>
  </si>
  <si>
    <t>KẾ TOÁN LỚP - SLOT 03</t>
  </si>
  <si>
    <t>Dữ liệu T8: roster 8 HS; điểm danh để trống do thiếu bằng chứng.</t>
  </si>
  <si>
    <t>KẾ TOÁN LỚP - SLOT 04</t>
  </si>
  <si>
    <t>KẾ TOÁN LỚP - SLOT 05</t>
  </si>
  <si>
    <t>Dữ liệu T8: 12 HS điểm danh; học phí thu trước 9 buổi theo nguồn.</t>
  </si>
  <si>
    <t>Nguồn T8 ghi phụ huynh còn thiếu 120.000 tháng trước.</t>
  </si>
  <si>
    <t>Nguồn T8: 8 buổi = 480.000; hạch toán giảm 60.000 từ tháng trước.</t>
  </si>
  <si>
    <t>Nguồn T8 ghi Đã đóng 540.000.</t>
  </si>
  <si>
    <t>Nguồn T8: 8 buổi = 480.000; Đã đóng; giảm 60.000 từ tháng trước.</t>
  </si>
  <si>
    <t>Có trong điểm danh T8 nhưng không có dòng học phí T8; tạm chưa tính.</t>
  </si>
  <si>
    <t>Nguồn cũ có ghi 'Nợ 120k buổi nghỉ' nhưng chưa đủ rõ để hạch toán.</t>
  </si>
  <si>
    <t>KẾ TOÁN LỚP - SLOT 06</t>
  </si>
  <si>
    <t>KẾ TOÁN LỚP - SLOT 07</t>
  </si>
  <si>
    <t>KẾ TOÁN LỚP - SLOT 08</t>
  </si>
  <si>
    <t>KẾ TOÁN LỚP - SLOT 09</t>
  </si>
  <si>
    <t>KẾ TOÁN LỚP - SLOT 10</t>
  </si>
  <si>
    <t>KẾ TOÁN LỚP - SLOT 11</t>
  </si>
  <si>
    <t>KẾ TOÁN LỚP - SLOT 12</t>
  </si>
  <si>
    <t>TỔNG HỢP HIỆU QUẢ THEO LỚP</t>
  </si>
  <si>
    <t>Buổi lịch</t>
  </si>
  <si>
    <t>Lương GV</t>
  </si>
  <si>
    <t>Thưởng HS</t>
  </si>
  <si>
    <t>Chi khác</t>
  </si>
  <si>
    <t>Lợi nhuận lớp</t>
  </si>
  <si>
    <t>QUỸ DỰ PHÒNG &amp; CHIA LỢI NHUẬN</t>
  </si>
  <si>
    <t>Người nhận</t>
  </si>
  <si>
    <t>Tỷ lệ</t>
  </si>
  <si>
    <t>Doanh thu học phí thực thu</t>
  </si>
  <si>
    <t>Thu khác</t>
  </si>
  <si>
    <t>Tổng thu</t>
  </si>
  <si>
    <t>Lương giảng viên</t>
  </si>
  <si>
    <t>Thưởng học sinh</t>
  </si>
  <si>
    <t>Chi phí khác</t>
  </si>
  <si>
    <t>Lợi nhuận trước quỹ</t>
  </si>
  <si>
    <t>Tiền trích quỹ</t>
  </si>
  <si>
    <t>Quỹ cuối kỳ</t>
  </si>
  <si>
    <t>Lợi nhuận được chia</t>
  </si>
  <si>
    <t>KIỂM TRA HỆ THỐNG / LIÊN KẾT</t>
  </si>
  <si>
    <t>Kiểm tra</t>
  </si>
  <si>
    <t>Kết quả</t>
  </si>
  <si>
    <t>Nguồn</t>
  </si>
  <si>
    <t>Ý nghĩa</t>
  </si>
  <si>
    <t>Học sinh slot 01</t>
  </si>
  <si>
    <t>01_HocSinh.xlsx / LOP_01!A21</t>
  </si>
  <si>
    <t>Phải nhận được mã HS nếu lớp có dữ liệu</t>
  </si>
  <si>
    <t>GV phân công đầu tiên</t>
  </si>
  <si>
    <t>HƯỚNG DẪN FILE HỌC SINH / ĐIỂM DANH</t>
  </si>
  <si>
    <t>02_GiangVien.xlsx / PHAN_CONG!B4</t>
  </si>
  <si>
    <t>Phải nhận được mã GV</t>
  </si>
  <si>
    <t>Tháng nội bộ</t>
  </si>
  <si>
    <t>Mục</t>
  </si>
  <si>
    <t>Thao tác</t>
  </si>
  <si>
    <t>DIEU_KHIEN!B4</t>
  </si>
  <si>
    <t>Phải đúng tháng đang vận hành</t>
  </si>
  <si>
    <t>1</t>
  </si>
  <si>
    <t>Giáo viên chỉ nhập Mã HS, Họ tên và điểm danh C/N/P</t>
  </si>
  <si>
    <t>2</t>
  </si>
  <si>
    <t>Không sửa vùng cấu hình lớp: tháng, học phí, lịch học lấy từ 03_KeToan.xlsx</t>
  </si>
  <si>
    <t>3</t>
  </si>
  <si>
    <t>C = Có mặt; N = Nghỉ; P = Nghỉ phép</t>
  </si>
  <si>
    <t>4</t>
  </si>
  <si>
    <t>OK = cả hai file nguồn đã liên kết</t>
  </si>
  <si>
    <t>Các ngày không có lịch học được tô xám; không cần nhập</t>
  </si>
  <si>
    <t>5</t>
  </si>
  <si>
    <t>Số buổi theo lịch được tự đếm theo tháng và các thứ học</t>
  </si>
  <si>
    <t>Cách xử lý khi báo CẦN UPDATE LINK</t>
  </si>
  <si>
    <t>6</t>
  </si>
  <si>
    <t>Số buổi học/nghỉ/chưa điểm danh tự tính</t>
  </si>
  <si>
    <t>7</t>
  </si>
  <si>
    <t>Mỗi LOP_XX là một slot lớp; tên lớp xem tại DANH_SACH_LOP</t>
  </si>
  <si>
    <t>Đặt cả 3 file trong cùng một thư mục</t>
  </si>
  <si>
    <t>Mở bằng Microsoft Excel Desktop và chọn Update Links / Enable Content khi được hỏi</t>
  </si>
  <si>
    <t>DANH SÁCH LỚP - TỰ ĐỒNG TỪ KẾ TOÁN</t>
  </si>
  <si>
    <t>ĐIỂM DANH LỚP - SLOT 01</t>
  </si>
  <si>
    <t>Sheet</t>
  </si>
  <si>
    <t>LOP_01</t>
  </si>
  <si>
    <t>LOP_02</t>
  </si>
  <si>
    <t>LOP_03</t>
  </si>
  <si>
    <t>LOP_04</t>
  </si>
  <si>
    <t>LOP_05</t>
  </si>
  <si>
    <t>LOP_06</t>
  </si>
  <si>
    <t>Thứ 2</t>
  </si>
  <si>
    <t>LOP_07</t>
  </si>
  <si>
    <t>Thứ 3</t>
  </si>
  <si>
    <t>TỔNG QUAN KẾ TOÁN</t>
  </si>
  <si>
    <t>Thứ 4</t>
  </si>
  <si>
    <t>KPI</t>
  </si>
  <si>
    <t>Thứ 5</t>
  </si>
  <si>
    <t>LOP_08</t>
  </si>
  <si>
    <t>Thứ 6</t>
  </si>
  <si>
    <t>LOP_09</t>
  </si>
  <si>
    <t>Thứ 7</t>
  </si>
  <si>
    <t>Chủ nhật</t>
  </si>
  <si>
    <t>LOP_10</t>
  </si>
  <si>
    <t>Đã thu học phí</t>
  </si>
  <si>
    <t>Số buổi theo lịch</t>
  </si>
  <si>
    <t>LOP_11</t>
  </si>
  <si>
    <t>Trích quỹ</t>
  </si>
  <si>
    <t>Lịch tháng</t>
  </si>
  <si>
    <t>LOP_12</t>
  </si>
  <si>
    <t>ĐIỂM DANH LỚP - SLOT 02</t>
  </si>
  <si>
    <t>Có lịch?</t>
  </si>
  <si>
    <t>Buổi 1</t>
  </si>
  <si>
    <t>Buổi 2</t>
  </si>
  <si>
    <t>Buổi 3</t>
  </si>
  <si>
    <t>Buổi 4</t>
  </si>
  <si>
    <t>Buổi 5</t>
  </si>
  <si>
    <t>Buổi 6</t>
  </si>
  <si>
    <t>Buổi 7</t>
  </si>
  <si>
    <t>Buổi 8</t>
  </si>
  <si>
    <t>Buổi 9</t>
  </si>
  <si>
    <t>Buổi 10</t>
  </si>
  <si>
    <t>Buổi 11</t>
  </si>
  <si>
    <t>Buổi 12</t>
  </si>
  <si>
    <t>Buổi 13</t>
  </si>
  <si>
    <t>Buổi 14</t>
  </si>
  <si>
    <t>Buổi 15</t>
  </si>
  <si>
    <t>Buổi 16</t>
  </si>
  <si>
    <t>Buổi 17</t>
  </si>
  <si>
    <t>Buổi 18</t>
  </si>
  <si>
    <t>Buổi 19</t>
  </si>
  <si>
    <t>Buổi 20</t>
  </si>
  <si>
    <t>Buổi 21</t>
  </si>
  <si>
    <t>Buổi 22</t>
  </si>
  <si>
    <t>Buổi 23</t>
  </si>
  <si>
    <t>Buổi 24</t>
  </si>
  <si>
    <t>Buổi 25</t>
  </si>
  <si>
    <t>Buổi 26</t>
  </si>
  <si>
    <t>Buổi 27</t>
  </si>
  <si>
    <t>Buổi 28</t>
  </si>
  <si>
    <t>Buổi 29</t>
  </si>
  <si>
    <t>ĐIỂM DANH LỚP - SLOT 03</t>
  </si>
  <si>
    <t>Buổi 30</t>
  </si>
  <si>
    <t>Buổi 31</t>
  </si>
  <si>
    <t>Số buổi học</t>
  </si>
  <si>
    <t>Số buổi nghỉ</t>
  </si>
  <si>
    <t>Chưa điểm danh</t>
  </si>
  <si>
    <t>HS06-001</t>
  </si>
  <si>
    <t>Đào Thị Kim Ngân</t>
  </si>
  <si>
    <t>C</t>
  </si>
  <si>
    <t>N</t>
  </si>
  <si>
    <t>HS06-002</t>
  </si>
  <si>
    <t>Đặng Phương Anh</t>
  </si>
  <si>
    <t>HS06-003</t>
  </si>
  <si>
    <t>Nguyễn Gia Bảo</t>
  </si>
  <si>
    <t>HS06-004</t>
  </si>
  <si>
    <t>Nguyễn Đặng Gia Bảo</t>
  </si>
  <si>
    <t>HS06-005</t>
  </si>
  <si>
    <t>Tuệ Lâm</t>
  </si>
  <si>
    <t>HS06-006</t>
  </si>
  <si>
    <t>Đặng Khánh Linh</t>
  </si>
  <si>
    <t>HS06-007</t>
  </si>
  <si>
    <t>Nguyễn Ngọc Diệp</t>
  </si>
  <si>
    <t>HS06-008</t>
  </si>
  <si>
    <t>Nguyễn Ngọc Cẩm Tú</t>
  </si>
  <si>
    <t>ĐIỂM DANH LỚP - SLOT 04</t>
  </si>
  <si>
    <t>HS06-009</t>
  </si>
  <si>
    <t>Đào Thế Hoàng</t>
  </si>
  <si>
    <t>HS06-010</t>
  </si>
  <si>
    <t>Đào Nguyễn Bình An</t>
  </si>
  <si>
    <t>HS06-011</t>
  </si>
  <si>
    <t>Nguyễn Trà My</t>
  </si>
  <si>
    <t>HS06-012</t>
  </si>
  <si>
    <t>Bảo Dũng</t>
  </si>
  <si>
    <t>HS06-013</t>
  </si>
  <si>
    <t>Đào Quang Minh</t>
  </si>
  <si>
    <t>HS07-001</t>
  </si>
  <si>
    <t>Lê Ngọc Ánh</t>
  </si>
  <si>
    <t>HS06-014</t>
  </si>
  <si>
    <t>Duy</t>
  </si>
  <si>
    <t>HS06-015</t>
  </si>
  <si>
    <t>Phúc</t>
  </si>
  <si>
    <t>HS06-016</t>
  </si>
  <si>
    <t>Linh</t>
  </si>
  <si>
    <t>HS06-017</t>
  </si>
  <si>
    <t>Hân</t>
  </si>
  <si>
    <t>HS06-018</t>
  </si>
  <si>
    <t>Kiều Anh</t>
  </si>
  <si>
    <t>Bạn Ánh có tinh thần học bài rất tốt và nắm kiến thức bài vững vàng. Em cần tiếp tục phát huy tinh thần này để ngày càng tiến bộ hơn trong học tập.</t>
  </si>
  <si>
    <t>HS07-002</t>
  </si>
  <si>
    <t>Nguyễn Thị Hồng Hạnh</t>
  </si>
  <si>
    <t>Bạn Hạnh có ý thức học bài và làm bài khá tốt. Tuy nhiên, em cần chủ động hơn trong việc làm bài của mình để đạt hiệu quả cao hơn.</t>
  </si>
  <si>
    <t>HS07-003</t>
  </si>
  <si>
    <t>Nguyễn Văn Phúc</t>
  </si>
  <si>
    <t>HS08-001</t>
  </si>
  <si>
    <t>Minh Thư</t>
  </si>
  <si>
    <t>Bạn Phúc có tinh thần học hỏi và có ý thức làm bài. Tuy nhiên, em còn nói chuyện và chưa thật sự tập trung trong giờ học, vì vậy em cần chú ý giữ trật tự và tập trung hơn để tiếp thu bài tốt hơn.</t>
  </si>
  <si>
    <t>HS07-004</t>
  </si>
  <si>
    <t>Đào Thành Lê</t>
  </si>
  <si>
    <t>Bạn Lê có ý thức học bài tốt. Tuy nhiên, em cần đi học đúng giờ hơn và cải thiện tốc độ làm bài còn hơi chậm để đạt hiệu quả cao hơn trong học tập.</t>
  </si>
  <si>
    <t>HS07-005</t>
  </si>
  <si>
    <t>Nguyễn Thành Công</t>
  </si>
  <si>
    <t>HS07-006</t>
  </si>
  <si>
    <t>Bùi Bảo Minh Anh</t>
  </si>
  <si>
    <t>Bạn Minh Anh có tinh thần học bài và làm bài khá tốt. Tuy nhiên, trong giờ học em còn mất tập trung và nói chuyện riêng, vì vậy em cần nghiêm túc hơn để đạt kết quả cao hơn.</t>
  </si>
  <si>
    <t>HS07-007</t>
  </si>
  <si>
    <t>Cao Nhật Minh</t>
  </si>
  <si>
    <t>HS08-002</t>
  </si>
  <si>
    <t>Nguyễn Đình Phát</t>
  </si>
  <si>
    <t>Bạn Minh  chăm chỉ làm bài tập về nhà, tuy nhiên đôi khi còn bị nhầm lẫn tính toán, vì vậy em cần cẩn thận hơn trong quá trình làm bài để hạn chế sai sót.</t>
  </si>
  <si>
    <t>HS07-008</t>
  </si>
  <si>
    <t>Phạm Mạnh Hùng</t>
  </si>
  <si>
    <t>HS08-003</t>
  </si>
  <si>
    <t>Đỗ Thị Mai Ngọc</t>
  </si>
  <si>
    <t>Bạn Hùng đã có sự tiến bộ rõ rệt, có tinh thần học hỏi và làm bài khá tốt. Tuy nhiên, em ghi bài còn chậm, vì vậy em cần cố gắng viết nhanh hơn và tập trung hơn trong giờ học.</t>
  </si>
  <si>
    <t>HS07-009</t>
  </si>
  <si>
    <t>Hiếu</t>
  </si>
  <si>
    <t>HS08-004</t>
  </si>
  <si>
    <t>Bùi Hiền Nhi</t>
  </si>
  <si>
    <t>Bạn Hiếu rất chăm chỉ làm bài, tích cực xung phong lên bảng và có kết quả học tập rất tốt. Em cần tiếp tục phát huy tinh thần học tập này trong thời gian tới.</t>
  </si>
  <si>
    <t>HS07-010</t>
  </si>
  <si>
    <t>Cẩm Tiên</t>
  </si>
  <si>
    <t>HS08-005</t>
  </si>
  <si>
    <t>Nguyễn Đặng Gia Hân</t>
  </si>
  <si>
    <t>Bạn Tiên học bài và làm bài rất chăm chỉ, tích cực trong giờ học và luôn hoàn thành tốt bài tập về nhà. Em cần tiếp tục phát huy tinh thần này.</t>
  </si>
  <si>
    <t>HS07-011</t>
  </si>
  <si>
    <t>Bảo An</t>
  </si>
  <si>
    <t>HS08-006</t>
  </si>
  <si>
    <t>Đào Ngọc Khánh</t>
  </si>
  <si>
    <t>Bạn An học bài và làm bài rất chăm chỉ, tích cực trong giờ học và luôn hoàn thành tốt bài tập về nhà. Em cần tiếp tục phát huy tinh thần này.</t>
  </si>
  <si>
    <t>HS07-012</t>
  </si>
  <si>
    <t>Đăng</t>
  </si>
  <si>
    <t>HS08-007</t>
  </si>
  <si>
    <t>Nhân</t>
  </si>
  <si>
    <t>Bạn Đăng rất chăm chỉ làm bài, tích cực xung phong lên bảng và có kết quả học tập rất tốt. Em cần tiếp tục phát huy tinh thần học tập này trong thời gian tới.</t>
  </si>
  <si>
    <t>HS07-013</t>
  </si>
  <si>
    <t>Lan</t>
  </si>
  <si>
    <t>HS09-001</t>
  </si>
  <si>
    <t>Trường An</t>
  </si>
  <si>
    <t>Bạn Lan có ý thức học bài và làm bài khá tốt. Tuy nhiên, em cần chủ động luyện tập các dạng bài đã học để đạt hiệu quả cao hơn.</t>
  </si>
  <si>
    <t>An có ý thức học tập tốt tự giác làm bài rất nhanh và độ chính xác tương đối.Tuy nhiên thỉnh thoảng bạn sai những lỗi không đáng có như sai điều kiện,giải hệ phương trình sai, kết luận sai hoặc quên không kết luận dẫn đến mất điểm.Bạn cần cẩn thận hơn trong lúc làm bài để đạt các kết quả cao hơn.</t>
  </si>
  <si>
    <t>HS09-002</t>
  </si>
  <si>
    <t>Như Quỳnh</t>
  </si>
  <si>
    <t>Quỳnh có ý thức học tập tốt tự giác làm bài rất nhanh và độ chính xác tương đối.Tuy nhiên thỉnh thoảng bạn sai những lỗi không đáng có như sai điều kiện,giải hệ phương trình sai, kết luận sai hoặc quên không kết luận dẫn đến mất điểm,ngoài ra bạn còn chưa mạnh dạn phát biểu bài.Bạn cần cẩn thận hơn trong lúc làm bài để đạt các kết quả cao hơn và mạnh dạn phát biểu xây dựng bài</t>
  </si>
  <si>
    <t>HS09-003</t>
  </si>
  <si>
    <t>Huy Đức</t>
  </si>
  <si>
    <t>Vắng không phép</t>
  </si>
  <si>
    <t>Trọng có ý thức học tập tốt, có tinh thần tự giác làm bài tuy nhiên bạn làm bài chưa được nhanh và chính xác tuyệt đối. Bạn còn đặt sai điều kiện và giải sai hệ phương trình và kết luận sai hoặc quên không kết luận.Bạn cần rèn luyện thêm tính cẩn thận và luyện tập thêm các bài để làm được nhanh chóng và chính xác hơn.</t>
  </si>
  <si>
    <t>HS09-005</t>
  </si>
  <si>
    <t>có ý thức học tập tốt tự giác làm bài rất nhanh và độ chính xác tương đối.Tuy nhiên thỉnh thoảng bạn sai những lỗi không đáng có như sai điều kiện,  giải hệ phương trình sai,kết luận sai hoặc quên không kết luận dẫn đến mất điểm, bạn làm BTVN chưa được tốt làm bài kiểu chống đối để nộp.Bạn cần cẩn thận hơn trong lúc làm bài để đạt các kết quả cao hơn và làm BTVN cẩn thận hơn</t>
  </si>
  <si>
    <t>HS09-006</t>
  </si>
  <si>
    <t>Phạm Đức Hùng</t>
  </si>
  <si>
    <t>Hùng có ý thức học tập có ý chí vươn lên.Tuy nhiên kiến thức cơ bản của bạn còn chưa tốt và nói chuyện khá nhiều dẫn đến hiệu quả buổi học chưa cao. Bạn cần ôn lại các kiến thức cơ bản và luyện tập thêm các dạng bài về phương trình và hệ phương trình để vận dụng được tốt hơn trong việc làm bài tập</t>
  </si>
  <si>
    <t>Quân có ý thức học tập, có tinh thần tự giác học và tự giác làm bài.Tuy nhiên bạn làm bài còn khá chậm và chưa mạnh dạn phát biểu xây dựng bài.Bạn cần mạnh dạn hơn trong việc phát biểu xây dựng bài  và cần luyện tập thêm các dạng bài về giải phương trình và hệ phương trình để nâng cao tốc độ làm bài</t>
  </si>
  <si>
    <t>HS09-008</t>
  </si>
  <si>
    <t>Châu</t>
  </si>
  <si>
    <t>NGHỈ</t>
  </si>
  <si>
    <t>HS09-009</t>
  </si>
  <si>
    <t>Phương Nhi</t>
  </si>
  <si>
    <t>Nhi có ý thức học tập tốt tự giác làm bài rất nhanh và độ chính xác tương đối.Tuy nhiên thỉnh thoảng bạn sai những lỗi không đáng có như sai điều kiện,giải hệ phương trình sai, kết luận sai hoặc quên không kết luận dẫn đến mất điểm,ngoài ra bạn còn chưa mạnh dạn phát biểu bài.Bạn cần cẩn thận hơn trong lúc làm bài để đạt các kết quả cao hơn và mạnh dạn phát biểu xây dựng bài</t>
  </si>
  <si>
    <t>HS09-010</t>
  </si>
  <si>
    <t>Lê Bảo Châm</t>
  </si>
  <si>
    <t>Bạn Châm có tinh thần học bài và làm bài tập về nhà rất tốt. Bạn thể hiện sự nghiêm túc và ý thức học tập tích cực. Bạn cần tiếp tục duy trì thói quen này, đồng thời chủ động hơn trong quá trình học để ngày càng tiến bộ.</t>
  </si>
  <si>
    <t>HS09-011</t>
  </si>
  <si>
    <t>Tuấn</t>
  </si>
  <si>
    <t>Vắng</t>
  </si>
  <si>
    <t>HS09-012</t>
  </si>
  <si>
    <t>Xuân Quỳnh</t>
  </si>
  <si>
    <t>ĐIỂM DANH LỚP - SLOT 05</t>
  </si>
  <si>
    <t>ĐIỂM DANH LỚP - SLOT 06</t>
  </si>
  <si>
    <t>ĐIỂM DANH LỚP - SLOT 07</t>
  </si>
  <si>
    <t>ĐIỂM DANH LỚP - SLOT 08</t>
  </si>
  <si>
    <t>ĐIỂM DANH LỚP - SLOT 09</t>
  </si>
  <si>
    <t>ĐIỂM DANH LỚP - SLOT 10</t>
  </si>
  <si>
    <t>ĐIỂM DANH LỚP - SLOT 11</t>
  </si>
  <si>
    <t>ĐIỂM DANH LỚP - SLOT 12</t>
  </si>
  <si>
    <t>Tháng từ Kế toán</t>
  </si>
  <si>
    <t>03_KeToan.xlsx / DIEU_KHIEN!B4</t>
  </si>
  <si>
    <t>Phải hiện đúng tháng làm việc</t>
  </si>
  <si>
    <t>Mã lớp slot 01</t>
  </si>
  <si>
    <t>03_KeToan.xlsx / DANH_MUC_LOP!B4</t>
  </si>
  <si>
    <t>Phải hiện mã lớp, ví dụ L06</t>
  </si>
  <si>
    <t>OK = liên kết đã nhận dữ liệu</t>
  </si>
  <si>
    <t>HƯỚNG DẪN FILE GIẢNG VIÊN</t>
  </si>
  <si>
    <t>DANH SÁCH GIẢNG VIÊN</t>
  </si>
  <si>
    <t>GIANG_VIEN: lưu thông tin cơ bản, không xóa GV cũ - đổi trạng thái khi nghỉ</t>
  </si>
  <si>
    <t>PHAN_CONG: mỗi dòng = 1 GV đảm nhận 1 lớp trong tháng</t>
  </si>
  <si>
    <t>Chỉ nhập Mã GV, Mã lớp, Số buổi dạy; tên tự lấy theo danh mục</t>
  </si>
  <si>
    <t>SĐT</t>
  </si>
  <si>
    <t>Môn chính</t>
  </si>
  <si>
    <t>% lương, thưởng, phạt được điều khiển ở 03_KeToan.xlsx</t>
  </si>
  <si>
    <t>GV001</t>
  </si>
  <si>
    <t>Nếu 2 GV cùng dạy một lớp, nhập 2 dòng và số buổi tương ứng</t>
  </si>
  <si>
    <t>Đang dạy</t>
  </si>
  <si>
    <t>Dạy Toán 6, 7, 8, 9</t>
  </si>
  <si>
    <t>GV002</t>
  </si>
  <si>
    <t>Nguyễn Thị Huệ</t>
  </si>
  <si>
    <t>TG001</t>
  </si>
  <si>
    <t>0394475010</t>
  </si>
  <si>
    <t>Trợ giảng Toán 7</t>
  </si>
  <si>
    <t>TG002</t>
  </si>
  <si>
    <t>Trợ giảng Toán 8, 9</t>
  </si>
  <si>
    <t>TG003</t>
  </si>
  <si>
    <t>Trợ giảng Toán 6</t>
  </si>
  <si>
    <t>PHÂN CÔNG GIẢNG VIÊN THEO LỚP / BUỔI</t>
  </si>
  <si>
    <t>Số buổi dạy</t>
  </si>
  <si>
    <t>T8: có 1 buổi điểm danh rõ trong nguồn</t>
  </si>
  <si>
    <t>T8: lấy 1 block có nhận xét thực tế</t>
  </si>
  <si>
    <t>Tên lớp của L06</t>
  </si>
  <si>
    <t>03_KeToan.xlsx / DANH_MUC_LOP</t>
  </si>
  <si>
    <t>Phải trả về tên lớp</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</si>
</sst>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mm/yyyy"/>
    <numFmt numFmtId="166" formatCode="#,##0 &quot;₫&quot;"/>
    <numFmt numFmtId="167" formatCode="#,##0;[Red](#,##0);-"/>
    <numFmt numFmtId="168" formatCode="dd"/>
  </numFmts>
  <fonts count="14">
    <font>
      <sz val="11.0"/>
      <color rgb="FF000000"/>
      <name val="Carlito"/>
      <scheme val="minor"/>
    </font>
    <font>
      <b/>
      <sz val="15.0"/>
      <color rgb="FFFFFFFF"/>
      <name val="Carlito"/>
    </font>
    <font>
      <b/>
      <sz val="11.0"/>
      <color rgb="FFFFFFFF"/>
      <name val="Carlito"/>
    </font>
    <font>
      <sz val="11.0"/>
      <color rgb="FF1F2937"/>
      <name val="Carlito"/>
    </font>
    <font>
      <b/>
      <sz val="11.0"/>
      <color rgb="FF17365D"/>
      <name val="Carlito"/>
    </font>
    <font>
      <b/>
      <color rgb="FF17365D"/>
      <name val="Carlito"/>
    </font>
    <font>
      <sz val="11.0"/>
      <color theme="1"/>
      <name val="Carlito"/>
    </font>
    <font>
      <color rgb="FF1F2937"/>
      <name val="Carlito"/>
    </font>
    <font>
      <b/>
      <sz val="11.0"/>
      <color rgb="FF548235"/>
      <name val="Carlito"/>
    </font>
    <font>
      <sz val="11.0"/>
      <color rgb="FF0000FF"/>
      <name val="Carlito"/>
    </font>
    <font>
      <b/>
      <color rgb="FF548235"/>
      <name val="Carlito"/>
    </font>
    <font>
      <b/>
      <sz val="12.0"/>
      <color rgb="FFFFFFFF"/>
      <name val="Carlito"/>
    </font>
    <font>
      <sz val="11.0"/>
      <color rgb="FF000000"/>
      <name val="Carlito"/>
    </font>
    <font>
      <b/>
      <sz val="11.0"/>
      <color rgb="FF1F2937"/>
      <name val="Carlito"/>
    </font>
  </fonts>
  <fills count="10">
    <fill>
      <patternFill patternType="none"/>
    </fill>
    <fill>
      <patternFill patternType="lightGray"/>
    </fill>
    <fill>
      <patternFill patternType="solid">
        <fgColor rgb="FF1F4E78"/>
        <bgColor rgb="FF1F4E78"/>
      </patternFill>
    </fill>
    <fill>
      <patternFill patternType="solid">
        <fgColor rgb="FFD9EAF7"/>
        <bgColor rgb="FFD9EAF7"/>
      </patternFill>
    </fill>
    <fill>
      <patternFill patternType="solid">
        <fgColor rgb="FF17365D"/>
        <bgColor rgb="FF17365D"/>
      </patternFill>
    </fill>
    <fill>
      <patternFill patternType="solid">
        <fgColor rgb="FFFFF2CC"/>
        <bgColor rgb="FFFFF2CC"/>
      </patternFill>
    </fill>
    <fill>
      <patternFill patternType="solid">
        <fgColor rgb="FFEAF3F8"/>
        <bgColor rgb="FFEAF3F8"/>
      </patternFill>
    </fill>
    <fill>
      <patternFill patternType="solid">
        <fgColor rgb="FFFFFFFF"/>
        <bgColor rgb="FFFFFFFF"/>
      </patternFill>
    </fill>
    <fill>
      <patternFill patternType="solid">
        <fgColor rgb="FFF3F6F8"/>
        <bgColor rgb="FFF3F6F8"/>
      </patternFill>
    </fill>
    <fill>
      <patternFill patternType="solid">
        <fgColor rgb="FFE2F0D9"/>
        <bgColor rgb="FFE2F0D9"/>
      </patternFill>
    </fill>
  </fills>
  <borders count="1">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2" fontId="1" numFmtId="0" xfId="0" applyAlignment="1" applyFill="1" applyFont="1">
      <alignment horizontal="left" vertical="center"/>
    </xf>
    <xf borderId="0" fillId="2" fontId="2" numFmtId="0" xfId="0" applyAlignment="1" applyFill="1" applyFont="1">
      <alignment horizontal="left" shrinkToFit="0" vertical="center" wrapText="0"/>
    </xf>
    <xf borderId="0" fillId="0" fontId="3" numFmtId="0" xfId="0" applyAlignment="1" applyFont="1">
      <alignment shrinkToFit="0" vertical="center" wrapText="0"/>
    </xf>
    <xf borderId="0" fillId="3" fontId="4" numFmtId="0" xfId="0" applyAlignment="1" applyFill="1" applyFont="1">
      <alignment horizontal="center" shrinkToFit="0" vertical="center" wrapText="1"/>
    </xf>
    <xf borderId="0" fillId="2" fontId="2" numFmtId="0" xfId="0" applyAlignment="1" applyFill="1" applyFont="1">
      <alignment horizontal="center" shrinkToFit="0" vertical="center" wrapText="1"/>
    </xf>
    <xf borderId="0" fillId="4" fontId="2" numFmtId="0" xfId="0" applyAlignment="1" applyFill="1" applyFont="1">
      <alignment horizontal="center" shrinkToFit="0" vertical="center" wrapText="1"/>
    </xf>
    <xf borderId="0" fillId="5" fontId="3" numFmtId="164" xfId="0" applyAlignment="1" applyFill="1" applyFont="1" applyNumberFormat="1">
      <alignment shrinkToFit="0" vertical="center" wrapText="1"/>
    </xf>
    <xf borderId="0" fillId="0" fontId="5" numFmtId="0" xfId="0" applyAlignment="1" applyFont="1">
      <alignment vertical="center"/>
    </xf>
    <xf borderId="0" fillId="5" fontId="3" numFmtId="0" xfId="0" applyAlignment="1" applyFill="1" applyFont="1">
      <alignment vertical="center"/>
    </xf>
    <xf borderId="0" fillId="5" fontId="3" numFmtId="165" xfId="0" applyAlignment="1" applyFill="1" applyFont="1" applyNumberFormat="1">
      <alignment vertical="center"/>
    </xf>
    <xf borderId="0" fillId="5" fontId="3" numFmtId="166" xfId="0" applyAlignment="1" applyFill="1" applyFont="1" applyNumberFormat="1">
      <alignment vertical="center"/>
    </xf>
    <xf borderId="0" fillId="6" fontId="4" numFmtId="0" xfId="0" applyAlignment="1" applyFill="1" applyFont="1">
      <alignment horizontal="center" shrinkToFit="0" vertical="center" wrapText="1"/>
    </xf>
    <xf borderId="0" fillId="2" fontId="2" numFmtId="0" xfId="0" applyAlignment="1" applyFill="1" applyFont="1">
      <alignment horizontal="center" readingOrder="0" shrinkToFit="0" vertical="center" wrapText="1"/>
    </xf>
    <xf borderId="0" fillId="0" fontId="3" numFmtId="0" xfId="0" applyAlignment="1" applyFont="1">
      <alignment shrinkToFit="0" vertical="center" wrapText="1"/>
    </xf>
    <xf borderId="0" fillId="5" fontId="3" numFmtId="0" xfId="0" applyAlignment="1" applyFill="1" applyFont="1">
      <alignment shrinkToFit="0" vertical="center" wrapText="1"/>
    </xf>
    <xf borderId="0" fillId="0" fontId="6" numFmtId="0" xfId="0" applyAlignment="1" applyFont="1">
      <alignment shrinkToFit="0" wrapText="1"/>
    </xf>
    <xf borderId="0" fillId="0" fontId="7" numFmtId="0" xfId="0" applyAlignment="1" applyFont="1">
      <alignment shrinkToFit="0" vertical="center" wrapText="1"/>
    </xf>
    <xf borderId="0" fillId="5" fontId="3" numFmtId="9" xfId="0" applyAlignment="1" applyFill="1" applyFont="1" applyNumberFormat="1">
      <alignment vertical="center"/>
    </xf>
    <xf borderId="0" fillId="5" fontId="3" numFmtId="0" xfId="0" applyAlignment="1" applyFill="1" applyFont="1">
      <alignment readingOrder="0" shrinkToFit="0" vertical="center" wrapText="1"/>
    </xf>
    <xf borderId="0" fillId="5" fontId="3" numFmtId="166" xfId="0" applyAlignment="1" applyFill="1" applyFont="1" applyNumberFormat="1">
      <alignment shrinkToFit="0" vertical="center" wrapText="1"/>
    </xf>
    <xf borderId="0" fillId="5" fontId="3" numFmtId="9" xfId="0" applyAlignment="1" applyFill="1" applyFont="1" applyNumberFormat="1">
      <alignment readingOrder="0" vertical="center"/>
    </xf>
    <xf borderId="0" fillId="6" fontId="3" numFmtId="0" xfId="0" applyAlignment="1" applyFill="1" applyFont="1">
      <alignment shrinkToFit="0" vertical="center" wrapText="1"/>
    </xf>
    <xf borderId="0" fillId="5" fontId="3" numFmtId="166" xfId="0" applyAlignment="1" applyFill="1" applyFont="1" applyNumberFormat="1">
      <alignment readingOrder="0" shrinkToFit="0" vertical="center" wrapText="1"/>
    </xf>
    <xf borderId="0" fillId="6" fontId="3" numFmtId="9" xfId="0" applyAlignment="1" applyFill="1" applyFont="1" applyNumberFormat="1">
      <alignment readingOrder="0" shrinkToFit="0" vertical="center" wrapText="1"/>
    </xf>
    <xf borderId="0" fillId="7" fontId="3" numFmtId="0" xfId="0" applyAlignment="1" applyFill="1" applyFont="1">
      <alignment shrinkToFit="0" vertical="center" wrapText="1"/>
    </xf>
    <xf borderId="0" fillId="8" fontId="3" numFmtId="0" xfId="0" applyAlignment="1" applyFill="1" applyFont="1">
      <alignment shrinkToFit="0" vertical="center" wrapText="1"/>
    </xf>
    <xf borderId="0" fillId="8" fontId="3" numFmtId="1" xfId="0" applyAlignment="1" applyFill="1" applyFont="1" applyNumberFormat="1">
      <alignment shrinkToFit="0" vertical="center" wrapText="1"/>
    </xf>
    <xf borderId="0" fillId="8" fontId="3" numFmtId="1" xfId="0" applyAlignment="1" applyFill="1" applyFont="1" applyNumberFormat="1">
      <alignment readingOrder="0" shrinkToFit="0" vertical="center" wrapText="1"/>
    </xf>
    <xf borderId="0" fillId="8" fontId="3" numFmtId="167" xfId="0" applyAlignment="1" applyFill="1" applyFont="1" applyNumberFormat="1">
      <alignment shrinkToFit="0" vertical="center" wrapText="1"/>
    </xf>
    <xf borderId="0" fillId="5" fontId="3" numFmtId="167" xfId="0" applyAlignment="1" applyFill="1" applyFont="1" applyNumberFormat="1">
      <alignment shrinkToFit="0" vertical="center" wrapText="1"/>
    </xf>
    <xf borderId="0" fillId="0" fontId="3" numFmtId="165" xfId="0" applyAlignment="1" applyFont="1" applyNumberFormat="1">
      <alignment shrinkToFit="0" vertical="center" wrapText="1"/>
    </xf>
    <xf borderId="0" fillId="0" fontId="3" numFmtId="166" xfId="0" applyAlignment="1" applyFont="1" applyNumberFormat="1">
      <alignment shrinkToFit="0" vertical="center" wrapText="1"/>
    </xf>
    <xf borderId="0" fillId="6" fontId="3" numFmtId="9" xfId="0" applyAlignment="1" applyFill="1" applyFont="1" applyNumberFormat="1">
      <alignment shrinkToFit="0" vertical="center" wrapText="1"/>
    </xf>
    <xf borderId="0" fillId="0" fontId="3" numFmtId="9" xfId="0" applyAlignment="1" applyFont="1" applyNumberFormat="1">
      <alignment shrinkToFit="0" vertical="center" wrapText="1"/>
    </xf>
    <xf borderId="0" fillId="5" fontId="3" numFmtId="9" xfId="0" applyAlignment="1" applyFill="1" applyFont="1" applyNumberFormat="1">
      <alignment readingOrder="0" shrinkToFit="0" vertical="center" wrapText="1"/>
    </xf>
    <xf borderId="0" fillId="9" fontId="8" numFmtId="166" xfId="0" applyAlignment="1" applyFill="1" applyFont="1" applyNumberFormat="1">
      <alignment shrinkToFit="0" vertical="center" wrapText="1"/>
    </xf>
    <xf borderId="0" fillId="5" fontId="3" numFmtId="9" xfId="0" applyAlignment="1" applyFill="1" applyFont="1" applyNumberFormat="1">
      <alignment shrinkToFit="0" vertical="center" wrapText="1"/>
    </xf>
    <xf borderId="0" fillId="3" fontId="5" numFmtId="0" xfId="0" applyAlignment="1" applyFill="1" applyFont="1">
      <alignment vertical="center"/>
    </xf>
    <xf borderId="0" fillId="6" fontId="7" numFmtId="0" xfId="0" applyAlignment="1" applyFill="1" applyFont="1">
      <alignment vertical="center"/>
    </xf>
    <xf borderId="0" fillId="8" fontId="5" numFmtId="0" xfId="0" applyAlignment="1" applyFill="1" applyFont="1">
      <alignment vertical="center"/>
    </xf>
    <xf borderId="0" fillId="6" fontId="3" numFmtId="166" xfId="0" applyAlignment="1" applyFill="1" applyFont="1" applyNumberFormat="1">
      <alignment vertical="center"/>
    </xf>
    <xf borderId="0" fillId="8" fontId="4" numFmtId="0" xfId="0" applyAlignment="1" applyFill="1" applyFont="1">
      <alignment shrinkToFit="0" vertical="center" wrapText="0"/>
    </xf>
    <xf borderId="0" fillId="6" fontId="3" numFmtId="166" xfId="0" applyAlignment="1" applyFill="1" applyFont="1" applyNumberFormat="1">
      <alignment shrinkToFit="0" vertical="center" wrapText="0"/>
    </xf>
    <xf borderId="0" fillId="0" fontId="7" numFmtId="0" xfId="0" applyAlignment="1" applyFont="1">
      <alignment vertical="center"/>
    </xf>
    <xf borderId="0" fillId="7" fontId="3" numFmtId="0" xfId="0" applyAlignment="1" applyFill="1" applyFont="1">
      <alignment vertical="center"/>
    </xf>
    <xf borderId="0" fillId="6" fontId="3" numFmtId="0" xfId="0" applyAlignment="1" applyFill="1" applyFont="1">
      <alignment vertical="center"/>
    </xf>
    <xf borderId="0" fillId="5" fontId="3" numFmtId="166" xfId="0" applyAlignment="1" applyFill="1" applyFont="1" applyNumberFormat="1">
      <alignment readingOrder="0" vertical="center"/>
    </xf>
    <xf borderId="0" fillId="5" fontId="3" numFmtId="164" xfId="0" applyAlignment="1" applyFill="1" applyFont="1" applyNumberFormat="1">
      <alignment vertical="center"/>
    </xf>
    <xf borderId="0" fillId="5" fontId="3" numFmtId="166" xfId="0" applyAlignment="1" applyFill="1" applyFont="1" applyNumberFormat="1">
      <alignment shrinkToFit="0" vertical="center" wrapText="0"/>
    </xf>
    <xf borderId="0" fillId="7" fontId="3" numFmtId="0" xfId="0" applyAlignment="1" applyFill="1" applyFont="1">
      <alignment shrinkToFit="0" vertical="center" wrapText="0"/>
    </xf>
    <xf borderId="0" fillId="6" fontId="3" numFmtId="0" xfId="0" applyAlignment="1" applyFill="1" applyFont="1">
      <alignment shrinkToFit="0" vertical="center" wrapText="0"/>
    </xf>
    <xf borderId="0" fillId="5" fontId="3" numFmtId="164" xfId="0" applyAlignment="1" applyFill="1" applyFont="1" applyNumberFormat="1">
      <alignment shrinkToFit="0" vertical="center" wrapText="0"/>
    </xf>
    <xf borderId="0" fillId="5" fontId="3" numFmtId="0" xfId="0" applyAlignment="1" applyFill="1" applyFont="1">
      <alignment shrinkToFit="0" vertical="center" wrapText="0"/>
    </xf>
    <xf borderId="0" fillId="5" fontId="7" numFmtId="166" xfId="0" applyAlignment="1" applyFill="1" applyFont="1" applyNumberFormat="1">
      <alignment vertical="center"/>
    </xf>
    <xf borderId="0" fillId="5" fontId="9" numFmtId="0" xfId="0" applyFill="1" applyFont="1"/>
    <xf borderId="0" fillId="5" fontId="9" numFmtId="167" xfId="0" applyFill="1" applyFont="1" applyNumberFormat="1"/>
    <xf borderId="0" fillId="6" fontId="7" numFmtId="0" xfId="0" applyAlignment="1" applyFill="1" applyFont="1">
      <alignment shrinkToFit="0" vertical="center" wrapText="1"/>
    </xf>
    <xf borderId="0" fillId="6" fontId="3" numFmtId="166" xfId="0" applyAlignment="1" applyFill="1" applyFont="1" applyNumberFormat="1">
      <alignment shrinkToFit="0" vertical="center" wrapText="1"/>
    </xf>
    <xf borderId="0" fillId="0" fontId="3" numFmtId="9" xfId="0" applyAlignment="1" applyFont="1" applyNumberFormat="1">
      <alignment vertical="center"/>
    </xf>
    <xf borderId="0" fillId="9" fontId="8" numFmtId="166" xfId="0" applyAlignment="1" applyFill="1" applyFont="1" applyNumberFormat="1">
      <alignment vertical="center"/>
    </xf>
    <xf borderId="0" fillId="6" fontId="3" numFmtId="9" xfId="0" applyAlignment="1" applyFill="1" applyFont="1" applyNumberFormat="1">
      <alignment vertical="center"/>
    </xf>
    <xf borderId="0" fillId="9" fontId="10" numFmtId="0" xfId="0" applyAlignment="1" applyFill="1" applyFont="1">
      <alignment vertical="center"/>
    </xf>
    <xf borderId="0" fillId="2" fontId="11" numFmtId="0" xfId="0" applyAlignment="1" applyFill="1" applyFont="1">
      <alignment horizontal="left" shrinkToFit="0" vertical="center" wrapText="1"/>
    </xf>
    <xf borderId="0" fillId="2" fontId="1" numFmtId="0" xfId="0" applyAlignment="1" applyFill="1" applyFont="1">
      <alignment horizontal="left" shrinkToFit="0" vertical="center" wrapText="0"/>
    </xf>
    <xf borderId="0" fillId="0" fontId="12" numFmtId="0" xfId="0" applyAlignment="1" applyFont="1">
      <alignment shrinkToFit="0" vertical="bottom" wrapText="1"/>
    </xf>
    <xf borderId="0" fillId="3" fontId="13" numFmtId="0" xfId="0" applyAlignment="1" applyFill="1" applyFont="1">
      <alignment horizontal="center" shrinkToFit="0" vertical="center" wrapText="1"/>
    </xf>
    <xf borderId="0" fillId="3" fontId="4" numFmtId="0" xfId="0" applyAlignment="1" applyFill="1" applyFont="1">
      <alignment shrinkToFit="0" vertical="center" wrapText="0"/>
    </xf>
    <xf borderId="0" fillId="6" fontId="3" numFmtId="165" xfId="0" applyAlignment="1" applyFill="1" applyFont="1" applyNumberFormat="1">
      <alignment shrinkToFit="0" vertical="center" wrapText="0"/>
    </xf>
    <xf borderId="0" fillId="6" fontId="4" numFmtId="165" xfId="0" applyAlignment="1" applyFill="1" applyFont="1" applyNumberFormat="1">
      <alignment vertical="center"/>
    </xf>
    <xf borderId="0" fillId="6" fontId="4" numFmtId="166" xfId="0" applyAlignment="1" applyFill="1" applyFont="1" applyNumberFormat="1">
      <alignment vertical="center"/>
    </xf>
    <xf borderId="0" fillId="8" fontId="3" numFmtId="0" xfId="0" applyAlignment="1" applyFill="1" applyFont="1">
      <alignment horizontal="center" shrinkToFit="0" vertical="center" wrapText="0"/>
    </xf>
    <xf borderId="0" fillId="8" fontId="3" numFmtId="0" xfId="0" applyAlignment="1" applyFill="1" applyFont="1">
      <alignment shrinkToFit="0" vertical="center" wrapText="0"/>
    </xf>
    <xf borderId="0" fillId="0" fontId="7" numFmtId="1" xfId="0" applyAlignment="1" applyFont="1" applyNumberFormat="1">
      <alignment vertical="center"/>
    </xf>
    <xf borderId="0" fillId="8" fontId="3" numFmtId="168" xfId="0" applyAlignment="1" applyFill="1" applyFont="1" applyNumberFormat="1">
      <alignment horizontal="center" shrinkToFit="0" vertical="center" wrapText="0"/>
    </xf>
    <xf borderId="0" fillId="0" fontId="3" numFmtId="166" xfId="0" applyAlignment="1" applyFont="1" applyNumberFormat="1">
      <alignment vertical="center"/>
    </xf>
    <xf borderId="0" fillId="5" fontId="3" numFmtId="0" xfId="0" applyAlignment="1" applyFill="1" applyFont="1">
      <alignment horizontal="center" shrinkToFit="0" vertical="center" wrapText="0"/>
    </xf>
    <xf borderId="0" fillId="5" fontId="3" numFmtId="0" xfId="0" applyAlignment="1" applyFill="1" applyFont="1">
      <alignment horizontal="center" readingOrder="0" shrinkToFit="0" vertical="center" wrapText="0"/>
    </xf>
    <xf borderId="0" fillId="3" fontId="3" numFmtId="0" xfId="0" applyAlignment="1" applyFill="1" applyFont="1">
      <alignment shrinkToFit="0" vertical="center" wrapText="1"/>
    </xf>
    <xf borderId="0" fillId="7" fontId="3" numFmtId="0" xfId="0" applyAlignment="1" applyFill="1" applyFont="1">
      <alignment readingOrder="0" shrinkToFit="0" vertical="center" wrapText="0"/>
    </xf>
    <xf borderId="0" fillId="5" fontId="3" numFmtId="49" xfId="0" applyAlignment="1" applyFill="1" applyFont="1" applyNumberFormat="1">
      <alignment shrinkToFit="0" vertical="center" wrapText="1"/>
    </xf>
    <xf borderId="0" fillId="5" fontId="3" numFmtId="0" xfId="0" applyAlignment="1" applyFill="1" applyFont="1">
      <alignment readingOrder="0" shrinkToFit="0" vertical="center" wrapText="1"/>
    </xf>
    <xf borderId="0" fillId="5" fontId="3" numFmtId="165" xfId="0" applyAlignment="1" applyFill="1" applyFont="1" applyNumberFormat="1">
      <alignment shrinkToFit="0" vertical="center" wrapText="0"/>
    </xf>
    <xf borderId="0" fillId="5" fontId="3" numFmtId="0" xfId="0" applyAlignment="1" applyFill="1" applyFont="1">
      <alignment readingOrder="0" shrinkToFit="0" vertical="center" wrapText="0"/>
    </xf>
    <xf borderId="0" fillId="5" fontId="3" numFmtId="1" xfId="0" applyAlignment="1" applyFill="1" applyFont="1" applyNumberFormat="1">
      <alignment readingOrder="0" shrinkToFit="0" vertical="center" wrapText="0"/>
    </xf>
    <xf borderId="0" fillId="5" fontId="3" numFmtId="1" xfId="0" applyAlignment="1" applyFill="1" applyFont="1" applyNumberFormat="1">
      <alignment shrinkToFit="0" vertical="center" wrapText="0"/>
    </xf>
  </cellXfs>
  <cellStyles count="1">
    <cellStyle xfId="0" name="Normal" builtinId="0"/>
  </cellStyles>
  <dxfs count="7">
    <dxf>
      <font>
        <b/>
        <color rgb="FF548235"/>
      </font>
      <fill>
        <patternFill patternType="solid">
          <fgColor rgb="FFE2F0D9"/>
          <bgColor rgb="FFE2F0D9"/>
        </patternFill>
      </fill>
      <border/>
    </dxf>
    <dxf>
      <font>
        <b/>
        <color rgb="FFC00000"/>
      </font>
      <fill>
        <patternFill patternType="solid">
          <fgColor rgb="FFFCE4D6"/>
          <bgColor rgb="FFFCE4D6"/>
        </patternFill>
      </fill>
      <border/>
    </dxf>
    <dxf>
      <font>
        <color rgb="FF666666"/>
      </font>
      <fill>
        <patternFill patternType="solid">
          <fgColor rgb="FFE7E6E6"/>
          <bgColor rgb="FFE7E6E6"/>
        </patternFill>
      </fill>
      <border/>
    </dxf>
    <dxf>
      <font/>
      <fill>
        <patternFill patternType="solid">
          <fgColor rgb="FFF4CCCC"/>
          <bgColor rgb="FFF4CCCC"/>
        </patternFill>
      </fill>
      <border/>
    </dxf>
    <dxf>
      <font>
        <color rgb="FFFFFFFF"/>
      </font>
      <fill>
        <patternFill patternType="solid">
          <fgColor rgb="FFFFFFFF"/>
          <bgColor rgb="FFFFFFFF"/>
        </patternFill>
      </fill>
      <border/>
    </dxf>
    <dxf>
      <font>
        <color rgb="FF888888"/>
      </font>
      <fill>
        <patternFill patternType="solid">
          <fgColor rgb="FFE7E6E6"/>
          <bgColor rgb="FFE7E6E6"/>
        </patternFill>
      </fill>
      <border/>
    </dxf>
    <dxf>
      <font>
        <b/>
        <color rgb="FF17365D"/>
      </font>
      <fill>
        <patternFill patternType="solid">
          <fgColor rgb="FFD9EAF7"/>
          <bgColor rgb="FFD9EAF7"/>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44" Type="http://schemas.openxmlformats.org/officeDocument/2006/relationships/worksheet" Target="worksheets/sheet40.xml"/><Relationship Id="rId21" Type="http://schemas.openxmlformats.org/officeDocument/2006/relationships/worksheet" Target="worksheets/sheet17.xml"/><Relationship Id="rId43" Type="http://schemas.openxmlformats.org/officeDocument/2006/relationships/worksheet" Target="worksheets/sheet39.xml"/><Relationship Id="rId24" Type="http://schemas.openxmlformats.org/officeDocument/2006/relationships/worksheet" Target="worksheets/sheet20.xml"/><Relationship Id="rId23" Type="http://schemas.openxmlformats.org/officeDocument/2006/relationships/worksheet" Target="worksheets/sheet19.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Đã thu và còn nợ theo lớp</a:t>
            </a:r>
          </a:p>
        </c:rich>
      </c:tx>
      <c:overlay val="0"/>
    </c:title>
    <c:plotArea>
      <c:layout/>
      <c:barChart>
        <c:barDir val="col"/>
        <c:ser>
          <c:idx val="0"/>
          <c:order val="0"/>
          <c:tx>
            <c:v>Đã thu</c:v>
          </c:tx>
          <c:spPr>
            <a:solidFill>
              <a:schemeClr val="accent1"/>
            </a:solidFill>
            <a:ln cmpd="sng">
              <a:noFill/>
            </a:ln>
          </c:spPr>
          <c:cat>
            <c:strRef>
              <c:f>TONG_QUAN!$A$15:$A$18</c:f>
            </c:strRef>
          </c:cat>
          <c:val>
            <c:numRef>
              <c:f>TONG_QUAN!$D$15:$D$18</c:f>
              <c:numCache/>
            </c:numRef>
          </c:val>
        </c:ser>
        <c:ser>
          <c:idx val="1"/>
          <c:order val="1"/>
          <c:tx>
            <c:v>Còn nợ</c:v>
          </c:tx>
          <c:spPr>
            <a:solidFill>
              <a:schemeClr val="accent2"/>
            </a:solidFill>
            <a:ln cmpd="sng">
              <a:noFill/>
            </a:ln>
          </c:spPr>
          <c:cat>
            <c:strRef>
              <c:f>TONG_QUAN!$A$15:$A$18</c:f>
            </c:strRef>
          </c:cat>
          <c:val>
            <c:numRef>
              <c:f>TONG_QUAN!$E$15:$E$18</c:f>
              <c:numCache/>
            </c:numRef>
          </c:val>
        </c:ser>
        <c:axId val="1891008350"/>
        <c:axId val="309069619"/>
      </c:barChart>
      <c:catAx>
        <c:axId val="18910083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309069619"/>
      </c:catAx>
      <c:valAx>
        <c:axId val="30906961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1891008350"/>
      </c:valAx>
    </c:plotArea>
    <c:legend>
      <c:legendPos val="b"/>
      <c:overlay val="0"/>
      <c:txPr>
        <a:bodyPr/>
        <a:lstStyle/>
        <a:p>
          <a:pPr lvl="0">
            <a:defRPr b="0">
              <a:solidFill>
                <a:srgbClr val="1A1A1A"/>
              </a:solidFill>
              <a:latin typeface="+mn-lt"/>
            </a:defRPr>
          </a:pPr>
        </a:p>
      </c:txPr>
    </c:legend>
    <c:plotVisOnly val="1"/>
  </c:chart>
</c:chartSpace>
</file>

<file path=xl/drawings/_rels/drawing2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2</xdr:row>
      <xdr:rowOff>0</xdr:rowOff>
    </xdr:from>
    <xdr:ext cx="6734175" cy="295275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18.0"/>
    <col customWidth="1" min="3" max="3" width="3.0"/>
    <col customWidth="1" min="4" max="4" width="9.0"/>
    <col customWidth="1" min="5" max="5" width="60.0"/>
    <col customWidth="1" min="6" max="8" width="12.0"/>
  </cols>
  <sheetData>
    <row r="1" ht="30.0" customHeight="1">
      <c r="A1" s="1" t="s">
        <v>2</v>
      </c>
    </row>
    <row r="2">
      <c r="A2" s="3"/>
      <c r="B2" s="3"/>
      <c r="C2" s="3"/>
      <c r="D2" s="3"/>
      <c r="E2" s="3"/>
    </row>
    <row r="3">
      <c r="A3" s="4" t="s">
        <v>4</v>
      </c>
      <c r="B3" s="4" t="s">
        <v>6</v>
      </c>
      <c r="C3" s="3"/>
      <c r="D3" s="4" t="s">
        <v>7</v>
      </c>
      <c r="E3" s="4"/>
      <c r="F3" s="6"/>
      <c r="G3" s="6"/>
      <c r="H3" s="6"/>
    </row>
    <row r="4">
      <c r="A4" s="8" t="s">
        <v>20</v>
      </c>
      <c r="B4" s="10">
        <v>46235.0</v>
      </c>
      <c r="C4" s="3"/>
      <c r="D4" s="12">
        <v>1.0</v>
      </c>
      <c r="E4" s="14" t="s">
        <v>36</v>
      </c>
      <c r="F4" s="16"/>
      <c r="G4" s="16"/>
      <c r="H4" s="16"/>
    </row>
    <row r="5">
      <c r="A5" s="8" t="s">
        <v>39</v>
      </c>
      <c r="B5" s="18">
        <v>0.1</v>
      </c>
      <c r="C5" s="3"/>
      <c r="D5" s="12">
        <v>2.0</v>
      </c>
      <c r="E5" s="14" t="s">
        <v>42</v>
      </c>
      <c r="F5" s="16"/>
      <c r="G5" s="16"/>
      <c r="H5" s="16"/>
    </row>
    <row r="6">
      <c r="A6" s="8" t="s">
        <v>44</v>
      </c>
      <c r="B6" s="21">
        <v>0.5</v>
      </c>
      <c r="C6" s="3"/>
      <c r="D6" s="12">
        <v>3.0</v>
      </c>
      <c r="E6" s="14" t="s">
        <v>45</v>
      </c>
      <c r="F6" s="16"/>
      <c r="G6" s="16"/>
      <c r="H6" s="16"/>
    </row>
    <row r="7">
      <c r="A7" s="8" t="s">
        <v>46</v>
      </c>
      <c r="B7" s="18">
        <v>0.5</v>
      </c>
      <c r="C7" s="3"/>
      <c r="D7" s="12">
        <v>4.0</v>
      </c>
      <c r="E7" s="14" t="s">
        <v>47</v>
      </c>
      <c r="F7" s="16"/>
      <c r="G7" s="16"/>
      <c r="H7" s="16"/>
    </row>
    <row r="8">
      <c r="A8" s="8" t="s">
        <v>48</v>
      </c>
      <c r="B8" s="18">
        <v>0.5</v>
      </c>
      <c r="C8" s="3"/>
      <c r="D8" s="12">
        <v>5.0</v>
      </c>
      <c r="E8" s="14" t="s">
        <v>50</v>
      </c>
      <c r="F8" s="16"/>
      <c r="G8" s="16"/>
      <c r="H8" s="16"/>
    </row>
    <row r="9">
      <c r="A9" s="8" t="s">
        <v>51</v>
      </c>
      <c r="B9" s="11">
        <v>0.0</v>
      </c>
      <c r="C9" s="3"/>
      <c r="D9" s="12">
        <v>6.0</v>
      </c>
      <c r="E9" s="14" t="s">
        <v>53</v>
      </c>
      <c r="F9" s="16"/>
      <c r="G9" s="16"/>
      <c r="H9" s="16"/>
    </row>
    <row r="10">
      <c r="A10" s="8" t="s">
        <v>54</v>
      </c>
      <c r="B10" s="11">
        <v>0.0</v>
      </c>
      <c r="C10" s="3"/>
      <c r="D10" s="12">
        <v>7.0</v>
      </c>
      <c r="E10" s="14" t="s">
        <v>55</v>
      </c>
      <c r="F10" s="16"/>
      <c r="G10" s="16"/>
      <c r="H10" s="1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2" width="11.0"/>
    <col customWidth="1" min="3" max="3" width="26.0"/>
    <col customWidth="1" min="4" max="5" width="10.0"/>
    <col customWidth="1" min="6" max="6" width="16.0"/>
    <col customWidth="1" min="7" max="13" width="8.25"/>
    <col customWidth="1" min="14" max="14" width="14.0"/>
    <col customWidth="1" min="15" max="16" width="12.0"/>
    <col customWidth="1" min="17" max="17" width="42.0"/>
    <col customWidth="1" min="18" max="18" width="16.0"/>
    <col customWidth="1" min="19" max="20" width="18.88"/>
  </cols>
  <sheetData>
    <row r="1" ht="30.0" customHeight="1">
      <c r="A1" s="1" t="s">
        <v>0</v>
      </c>
      <c r="R1" s="2"/>
    </row>
    <row r="2">
      <c r="A2" s="3"/>
      <c r="B2" s="3"/>
      <c r="C2" s="3"/>
      <c r="D2" s="3"/>
      <c r="E2" s="3"/>
      <c r="F2" s="3"/>
      <c r="G2" s="3"/>
      <c r="H2" s="3"/>
      <c r="I2" s="3"/>
      <c r="J2" s="3"/>
      <c r="K2" s="3"/>
      <c r="L2" s="3"/>
      <c r="M2" s="3"/>
      <c r="N2" s="3"/>
      <c r="O2" s="3"/>
      <c r="P2" s="3"/>
      <c r="Q2" s="3"/>
      <c r="R2" s="3"/>
    </row>
    <row r="3" ht="27.75" customHeight="1">
      <c r="A3" s="5" t="s">
        <v>13</v>
      </c>
      <c r="B3" s="5" t="s">
        <v>10</v>
      </c>
      <c r="C3" s="5" t="s">
        <v>19</v>
      </c>
      <c r="D3" s="5" t="s">
        <v>21</v>
      </c>
      <c r="E3" s="5" t="s">
        <v>22</v>
      </c>
      <c r="F3" s="5" t="s">
        <v>23</v>
      </c>
      <c r="G3" s="5" t="s">
        <v>24</v>
      </c>
      <c r="H3" s="5" t="s">
        <v>25</v>
      </c>
      <c r="I3" s="5" t="s">
        <v>26</v>
      </c>
      <c r="J3" s="5" t="s">
        <v>27</v>
      </c>
      <c r="K3" s="5" t="s">
        <v>28</v>
      </c>
      <c r="L3" s="5" t="s">
        <v>29</v>
      </c>
      <c r="M3" s="5" t="s">
        <v>30</v>
      </c>
      <c r="N3" s="5" t="s">
        <v>31</v>
      </c>
      <c r="O3" s="5" t="s">
        <v>32</v>
      </c>
      <c r="P3" s="5" t="s">
        <v>33</v>
      </c>
      <c r="Q3" s="5" t="s">
        <v>15</v>
      </c>
      <c r="R3" s="5" t="s">
        <v>34</v>
      </c>
      <c r="S3" s="13" t="s">
        <v>35</v>
      </c>
      <c r="T3" s="13" t="s">
        <v>38</v>
      </c>
    </row>
    <row r="4">
      <c r="A4" s="17">
        <v>1.0</v>
      </c>
      <c r="B4" s="15" t="s">
        <v>40</v>
      </c>
      <c r="C4" s="19" t="s">
        <v>41</v>
      </c>
      <c r="D4" s="15">
        <v>6.0</v>
      </c>
      <c r="E4" s="15" t="s">
        <v>43</v>
      </c>
      <c r="F4" s="20">
        <v>50000.0</v>
      </c>
      <c r="G4" s="22" t="s">
        <v>49</v>
      </c>
      <c r="H4" s="22" t="s">
        <v>49</v>
      </c>
      <c r="I4" s="22" t="s">
        <v>49</v>
      </c>
      <c r="J4" s="22" t="s">
        <v>52</v>
      </c>
      <c r="K4" s="22" t="s">
        <v>49</v>
      </c>
      <c r="L4" s="22" t="s">
        <v>49</v>
      </c>
      <c r="M4" s="22" t="s">
        <v>52</v>
      </c>
      <c r="N4" s="22" t="s">
        <v>56</v>
      </c>
      <c r="O4" s="24">
        <v>0.5</v>
      </c>
      <c r="P4" s="26" t="s">
        <v>57</v>
      </c>
      <c r="Q4" s="26" t="s">
        <v>58</v>
      </c>
      <c r="R4" s="27">
        <f>IF(B4="","",SUM(IF(G4="Có",MAX(0,1+INT((DAY(EOMONTH(DIEU_KHIEN!$B$4,0))-(1+MOD(1-WEEKDAY(DIEU_KHIEN!$B$4,2),7)))/7)),0),IF(H4="Có",MAX(0,1+INT((DAY(EOMONTH(DIEU_KHIEN!$B$4,0))-(1+MOD(2-WEEKDAY(DIEU_KHIEN!$B$4,2),7)))/7)),0),IF(I4="Có",MAX(0,1+INT((DAY(EOMONTH(DIEU_KHIEN!$B$4,0))-(1+MOD(3-WEEKDAY(DIEU_KHIEN!$B$4,2),7)))/7)),0),IF(J4="Có",MAX(0,1+INT((DAY(EOMONTH(DIEU_KHIEN!$B$4,0))-(1+MOD(4-WEEKDAY(DIEU_KHIEN!$B$4,2),7)))/7)),0),IF(K4="Có",MAX(0,1+INT((DAY(EOMONTH(DIEU_KHIEN!$B$4,0))-(1+MOD(5-WEEKDAY(DIEU_KHIEN!$B$4,2),7)))/7)),0),IF(L4="Có",MAX(0,1+INT((DAY(EOMONTH(DIEU_KHIEN!$B$4,0))-(1+MOD(6-WEEKDAY(DIEU_KHIEN!$B$4,2),7)))/7)),0),IF(M4="Có",MAX(0,1+INT((DAY(EOMONTH(DIEU_KHIEN!$B$4,0))-(1+MOD(7-WEEKDAY(DIEU_KHIEN!$B$4,2),7)))/7)),0)))</f>
        <v>9</v>
      </c>
      <c r="S4" s="28" t="s">
        <v>46</v>
      </c>
      <c r="T4" s="28" t="s">
        <v>59</v>
      </c>
    </row>
    <row r="5">
      <c r="A5" s="17">
        <v>2.0</v>
      </c>
      <c r="B5" s="15" t="s">
        <v>60</v>
      </c>
      <c r="C5" s="15" t="s">
        <v>61</v>
      </c>
      <c r="D5" s="15">
        <v>7.0</v>
      </c>
      <c r="E5" s="15" t="s">
        <v>43</v>
      </c>
      <c r="F5" s="20">
        <v>50000.0</v>
      </c>
      <c r="G5" s="22" t="s">
        <v>49</v>
      </c>
      <c r="H5" s="22" t="s">
        <v>52</v>
      </c>
      <c r="I5" s="22" t="s">
        <v>49</v>
      </c>
      <c r="J5" s="22" t="s">
        <v>49</v>
      </c>
      <c r="K5" s="22" t="s">
        <v>52</v>
      </c>
      <c r="L5" s="22" t="s">
        <v>49</v>
      </c>
      <c r="M5" s="22" t="s">
        <v>49</v>
      </c>
      <c r="N5" s="22" t="s">
        <v>56</v>
      </c>
      <c r="O5" s="24">
        <v>0.5</v>
      </c>
      <c r="P5" s="26" t="s">
        <v>57</v>
      </c>
      <c r="Q5" s="26" t="s">
        <v>62</v>
      </c>
      <c r="R5" s="27">
        <f>IF(B5="","",SUM(IF(G5="Có",MAX(0,1+INT((DAY(EOMONTH(DIEU_KHIEN!$B$4,0))-(1+MOD(1-WEEKDAY(DIEU_KHIEN!$B$4,2),7)))/7)),0),IF(H5="Có",MAX(0,1+INT((DAY(EOMONTH(DIEU_KHIEN!$B$4,0))-(1+MOD(2-WEEKDAY(DIEU_KHIEN!$B$4,2),7)))/7)),0),IF(I5="Có",MAX(0,1+INT((DAY(EOMONTH(DIEU_KHIEN!$B$4,0))-(1+MOD(3-WEEKDAY(DIEU_KHIEN!$B$4,2),7)))/7)),0),IF(J5="Có",MAX(0,1+INT((DAY(EOMONTH(DIEU_KHIEN!$B$4,0))-(1+MOD(4-WEEKDAY(DIEU_KHIEN!$B$4,2),7)))/7)),0),IF(K5="Có",MAX(0,1+INT((DAY(EOMONTH(DIEU_KHIEN!$B$4,0))-(1+MOD(5-WEEKDAY(DIEU_KHIEN!$B$4,2),7)))/7)),0),IF(L5="Có",MAX(0,1+INT((DAY(EOMONTH(DIEU_KHIEN!$B$4,0))-(1+MOD(6-WEEKDAY(DIEU_KHIEN!$B$4,2),7)))/7)),0),IF(M5="Có",MAX(0,1+INT((DAY(EOMONTH(DIEU_KHIEN!$B$4,0))-(1+MOD(7-WEEKDAY(DIEU_KHIEN!$B$4,2),7)))/7)),0)))</f>
        <v>8</v>
      </c>
      <c r="S5" s="28" t="s">
        <v>46</v>
      </c>
      <c r="T5" s="28" t="s">
        <v>69</v>
      </c>
    </row>
    <row r="6">
      <c r="A6" s="17">
        <v>3.0</v>
      </c>
      <c r="B6" s="15" t="s">
        <v>70</v>
      </c>
      <c r="C6" s="15" t="s">
        <v>71</v>
      </c>
      <c r="D6" s="15">
        <v>8.0</v>
      </c>
      <c r="E6" s="15" t="s">
        <v>43</v>
      </c>
      <c r="F6" s="20">
        <v>50000.0</v>
      </c>
      <c r="G6" s="22" t="s">
        <v>49</v>
      </c>
      <c r="H6" s="22" t="s">
        <v>52</v>
      </c>
      <c r="I6" s="22" t="s">
        <v>49</v>
      </c>
      <c r="J6" s="22" t="s">
        <v>49</v>
      </c>
      <c r="K6" s="22" t="s">
        <v>49</v>
      </c>
      <c r="L6" s="22" t="s">
        <v>49</v>
      </c>
      <c r="M6" s="22" t="s">
        <v>52</v>
      </c>
      <c r="N6" s="22" t="s">
        <v>56</v>
      </c>
      <c r="O6" s="24">
        <v>0.5</v>
      </c>
      <c r="P6" s="26" t="s">
        <v>57</v>
      </c>
      <c r="Q6" s="26" t="s">
        <v>72</v>
      </c>
      <c r="R6" s="27">
        <f>IF(B6="","",SUM(IF(G6="Có",MAX(0,1+INT((DAY(EOMONTH(DIEU_KHIEN!$B$4,0))-(1+MOD(1-WEEKDAY(DIEU_KHIEN!$B$4,2),7)))/7)),0),IF(H6="Có",MAX(0,1+INT((DAY(EOMONTH(DIEU_KHIEN!$B$4,0))-(1+MOD(2-WEEKDAY(DIEU_KHIEN!$B$4,2),7)))/7)),0),IF(I6="Có",MAX(0,1+INT((DAY(EOMONTH(DIEU_KHIEN!$B$4,0))-(1+MOD(3-WEEKDAY(DIEU_KHIEN!$B$4,2),7)))/7)),0),IF(J6="Có",MAX(0,1+INT((DAY(EOMONTH(DIEU_KHIEN!$B$4,0))-(1+MOD(4-WEEKDAY(DIEU_KHIEN!$B$4,2),7)))/7)),0),IF(K6="Có",MAX(0,1+INT((DAY(EOMONTH(DIEU_KHIEN!$B$4,0))-(1+MOD(5-WEEKDAY(DIEU_KHIEN!$B$4,2),7)))/7)),0),IF(L6="Có",MAX(0,1+INT((DAY(EOMONTH(DIEU_KHIEN!$B$4,0))-(1+MOD(6-WEEKDAY(DIEU_KHIEN!$B$4,2),7)))/7)),0),IF(M6="Có",MAX(0,1+INT((DAY(EOMONTH(DIEU_KHIEN!$B$4,0))-(1+MOD(7-WEEKDAY(DIEU_KHIEN!$B$4,2),7)))/7)),0)))</f>
        <v>9</v>
      </c>
      <c r="S6" s="28" t="s">
        <v>46</v>
      </c>
      <c r="T6" s="28" t="s">
        <v>89</v>
      </c>
    </row>
    <row r="7">
      <c r="A7" s="17">
        <v>4.0</v>
      </c>
      <c r="B7" s="15" t="s">
        <v>66</v>
      </c>
      <c r="C7" s="15" t="s">
        <v>90</v>
      </c>
      <c r="D7" s="15">
        <v>9.0</v>
      </c>
      <c r="E7" s="15" t="s">
        <v>43</v>
      </c>
      <c r="F7" s="20">
        <v>60000.0</v>
      </c>
      <c r="G7" s="22" t="s">
        <v>52</v>
      </c>
      <c r="H7" s="22" t="s">
        <v>49</v>
      </c>
      <c r="I7" s="22" t="s">
        <v>49</v>
      </c>
      <c r="J7" s="22" t="s">
        <v>52</v>
      </c>
      <c r="K7" s="22" t="s">
        <v>49</v>
      </c>
      <c r="L7" s="22" t="s">
        <v>49</v>
      </c>
      <c r="M7" s="22" t="s">
        <v>49</v>
      </c>
      <c r="N7" s="22" t="s">
        <v>91</v>
      </c>
      <c r="O7" s="24">
        <v>0.5</v>
      </c>
      <c r="P7" s="26" t="s">
        <v>57</v>
      </c>
      <c r="Q7" s="26" t="s">
        <v>92</v>
      </c>
      <c r="R7" s="27">
        <v>9.0</v>
      </c>
      <c r="S7" s="28" t="s">
        <v>46</v>
      </c>
      <c r="T7" s="28" t="s">
        <v>89</v>
      </c>
    </row>
    <row r="8">
      <c r="A8" s="17">
        <v>5.0</v>
      </c>
      <c r="B8" s="15"/>
      <c r="C8" s="15"/>
      <c r="D8" s="15"/>
      <c r="E8" s="15"/>
      <c r="F8" s="20"/>
      <c r="G8" s="22" t="s">
        <v>49</v>
      </c>
      <c r="H8" s="22" t="s">
        <v>49</v>
      </c>
      <c r="I8" s="22" t="s">
        <v>49</v>
      </c>
      <c r="J8" s="22" t="s">
        <v>49</v>
      </c>
      <c r="K8" s="22" t="s">
        <v>49</v>
      </c>
      <c r="L8" s="22" t="s">
        <v>49</v>
      </c>
      <c r="M8" s="22" t="s">
        <v>49</v>
      </c>
      <c r="N8" s="22" t="s">
        <v>56</v>
      </c>
      <c r="O8" s="33"/>
      <c r="P8" s="26" t="s">
        <v>93</v>
      </c>
      <c r="Q8" s="26"/>
      <c r="R8" s="27" t="str">
        <f>IF(B8="","",SUM(IF(G8="Có",MAX(0,1+INT((DAY(EOMONTH(DIEU_KHIEN!$B$4,0))-(1+MOD(1-WEEKDAY(DIEU_KHIEN!$B$4,2),7)))/7)),0),IF(H8="Có",MAX(0,1+INT((DAY(EOMONTH(DIEU_KHIEN!$B$4,0))-(1+MOD(2-WEEKDAY(DIEU_KHIEN!$B$4,2),7)))/7)),0),IF(I8="Có",MAX(0,1+INT((DAY(EOMONTH(DIEU_KHIEN!$B$4,0))-(1+MOD(3-WEEKDAY(DIEU_KHIEN!$B$4,2),7)))/7)),0),IF(J8="Có",MAX(0,1+INT((DAY(EOMONTH(DIEU_KHIEN!$B$4,0))-(1+MOD(4-WEEKDAY(DIEU_KHIEN!$B$4,2),7)))/7)),0),IF(K8="Có",MAX(0,1+INT((DAY(EOMONTH(DIEU_KHIEN!$B$4,0))-(1+MOD(5-WEEKDAY(DIEU_KHIEN!$B$4,2),7)))/7)),0),IF(L8="Có",MAX(0,1+INT((DAY(EOMONTH(DIEU_KHIEN!$B$4,0))-(1+MOD(6-WEEKDAY(DIEU_KHIEN!$B$4,2),7)))/7)),0),IF(M8="Có",MAX(0,1+INT((DAY(EOMONTH(DIEU_KHIEN!$B$4,0))-(1+MOD(7-WEEKDAY(DIEU_KHIEN!$B$4,2),7)))/7)),0)))</f>
        <v/>
      </c>
      <c r="S8" s="27"/>
      <c r="T8" s="27"/>
    </row>
    <row r="9">
      <c r="A9" s="17">
        <v>6.0</v>
      </c>
      <c r="B9" s="15"/>
      <c r="C9" s="15"/>
      <c r="D9" s="15"/>
      <c r="E9" s="15"/>
      <c r="F9" s="20"/>
      <c r="G9" s="22" t="s">
        <v>49</v>
      </c>
      <c r="H9" s="22" t="s">
        <v>49</v>
      </c>
      <c r="I9" s="22" t="s">
        <v>49</v>
      </c>
      <c r="J9" s="22" t="s">
        <v>49</v>
      </c>
      <c r="K9" s="22" t="s">
        <v>49</v>
      </c>
      <c r="L9" s="22" t="s">
        <v>49</v>
      </c>
      <c r="M9" s="22" t="s">
        <v>49</v>
      </c>
      <c r="N9" s="22" t="s">
        <v>56</v>
      </c>
      <c r="O9" s="33"/>
      <c r="P9" s="26" t="s">
        <v>93</v>
      </c>
      <c r="Q9" s="26"/>
      <c r="R9" s="27" t="str">
        <f>IF(B9="","",SUM(IF(G9="Có",MAX(0,1+INT((DAY(EOMONTH(DIEU_KHIEN!$B$4,0))-(1+MOD(1-WEEKDAY(DIEU_KHIEN!$B$4,2),7)))/7)),0),IF(H9="Có",MAX(0,1+INT((DAY(EOMONTH(DIEU_KHIEN!$B$4,0))-(1+MOD(2-WEEKDAY(DIEU_KHIEN!$B$4,2),7)))/7)),0),IF(I9="Có",MAX(0,1+INT((DAY(EOMONTH(DIEU_KHIEN!$B$4,0))-(1+MOD(3-WEEKDAY(DIEU_KHIEN!$B$4,2),7)))/7)),0),IF(J9="Có",MAX(0,1+INT((DAY(EOMONTH(DIEU_KHIEN!$B$4,0))-(1+MOD(4-WEEKDAY(DIEU_KHIEN!$B$4,2),7)))/7)),0),IF(K9="Có",MAX(0,1+INT((DAY(EOMONTH(DIEU_KHIEN!$B$4,0))-(1+MOD(5-WEEKDAY(DIEU_KHIEN!$B$4,2),7)))/7)),0),IF(L9="Có",MAX(0,1+INT((DAY(EOMONTH(DIEU_KHIEN!$B$4,0))-(1+MOD(6-WEEKDAY(DIEU_KHIEN!$B$4,2),7)))/7)),0),IF(M9="Có",MAX(0,1+INT((DAY(EOMONTH(DIEU_KHIEN!$B$4,0))-(1+MOD(7-WEEKDAY(DIEU_KHIEN!$B$4,2),7)))/7)),0)))</f>
        <v/>
      </c>
      <c r="S9" s="27"/>
      <c r="T9" s="27"/>
    </row>
    <row r="10">
      <c r="A10" s="17">
        <v>7.0</v>
      </c>
      <c r="B10" s="15"/>
      <c r="C10" s="15"/>
      <c r="D10" s="15"/>
      <c r="E10" s="15"/>
      <c r="F10" s="20"/>
      <c r="G10" s="22" t="s">
        <v>49</v>
      </c>
      <c r="H10" s="22" t="s">
        <v>49</v>
      </c>
      <c r="I10" s="22" t="s">
        <v>49</v>
      </c>
      <c r="J10" s="22" t="s">
        <v>49</v>
      </c>
      <c r="K10" s="22" t="s">
        <v>49</v>
      </c>
      <c r="L10" s="22" t="s">
        <v>49</v>
      </c>
      <c r="M10" s="22" t="s">
        <v>49</v>
      </c>
      <c r="N10" s="22" t="s">
        <v>56</v>
      </c>
      <c r="O10" s="33"/>
      <c r="P10" s="26" t="s">
        <v>93</v>
      </c>
      <c r="Q10" s="26"/>
      <c r="R10" s="27" t="str">
        <f>IF(B10="","",SUM(IF(G10="Có",MAX(0,1+INT((DAY(EOMONTH(DIEU_KHIEN!$B$4,0))-(1+MOD(1-WEEKDAY(DIEU_KHIEN!$B$4,2),7)))/7)),0),IF(H10="Có",MAX(0,1+INT((DAY(EOMONTH(DIEU_KHIEN!$B$4,0))-(1+MOD(2-WEEKDAY(DIEU_KHIEN!$B$4,2),7)))/7)),0),IF(I10="Có",MAX(0,1+INT((DAY(EOMONTH(DIEU_KHIEN!$B$4,0))-(1+MOD(3-WEEKDAY(DIEU_KHIEN!$B$4,2),7)))/7)),0),IF(J10="Có",MAX(0,1+INT((DAY(EOMONTH(DIEU_KHIEN!$B$4,0))-(1+MOD(4-WEEKDAY(DIEU_KHIEN!$B$4,2),7)))/7)),0),IF(K10="Có",MAX(0,1+INT((DAY(EOMONTH(DIEU_KHIEN!$B$4,0))-(1+MOD(5-WEEKDAY(DIEU_KHIEN!$B$4,2),7)))/7)),0),IF(L10="Có",MAX(0,1+INT((DAY(EOMONTH(DIEU_KHIEN!$B$4,0))-(1+MOD(6-WEEKDAY(DIEU_KHIEN!$B$4,2),7)))/7)),0),IF(M10="Có",MAX(0,1+INT((DAY(EOMONTH(DIEU_KHIEN!$B$4,0))-(1+MOD(7-WEEKDAY(DIEU_KHIEN!$B$4,2),7)))/7)),0)))</f>
        <v/>
      </c>
      <c r="S10" s="27"/>
      <c r="T10" s="27"/>
    </row>
    <row r="11">
      <c r="A11" s="17">
        <v>8.0</v>
      </c>
      <c r="B11" s="15"/>
      <c r="C11" s="15"/>
      <c r="D11" s="15"/>
      <c r="E11" s="15"/>
      <c r="F11" s="20"/>
      <c r="G11" s="22" t="s">
        <v>49</v>
      </c>
      <c r="H11" s="22" t="s">
        <v>49</v>
      </c>
      <c r="I11" s="22" t="s">
        <v>49</v>
      </c>
      <c r="J11" s="22" t="s">
        <v>49</v>
      </c>
      <c r="K11" s="22" t="s">
        <v>49</v>
      </c>
      <c r="L11" s="22" t="s">
        <v>49</v>
      </c>
      <c r="M11" s="22" t="s">
        <v>49</v>
      </c>
      <c r="N11" s="22" t="s">
        <v>56</v>
      </c>
      <c r="O11" s="33"/>
      <c r="P11" s="26" t="s">
        <v>93</v>
      </c>
      <c r="Q11" s="26"/>
      <c r="R11" s="27" t="str">
        <f>IF(B11="","",SUM(IF(G11="Có",MAX(0,1+INT((DAY(EOMONTH(DIEU_KHIEN!$B$4,0))-(1+MOD(1-WEEKDAY(DIEU_KHIEN!$B$4,2),7)))/7)),0),IF(H11="Có",MAX(0,1+INT((DAY(EOMONTH(DIEU_KHIEN!$B$4,0))-(1+MOD(2-WEEKDAY(DIEU_KHIEN!$B$4,2),7)))/7)),0),IF(I11="Có",MAX(0,1+INT((DAY(EOMONTH(DIEU_KHIEN!$B$4,0))-(1+MOD(3-WEEKDAY(DIEU_KHIEN!$B$4,2),7)))/7)),0),IF(J11="Có",MAX(0,1+INT((DAY(EOMONTH(DIEU_KHIEN!$B$4,0))-(1+MOD(4-WEEKDAY(DIEU_KHIEN!$B$4,2),7)))/7)),0),IF(K11="Có",MAX(0,1+INT((DAY(EOMONTH(DIEU_KHIEN!$B$4,0))-(1+MOD(5-WEEKDAY(DIEU_KHIEN!$B$4,2),7)))/7)),0),IF(L11="Có",MAX(0,1+INT((DAY(EOMONTH(DIEU_KHIEN!$B$4,0))-(1+MOD(6-WEEKDAY(DIEU_KHIEN!$B$4,2),7)))/7)),0),IF(M11="Có",MAX(0,1+INT((DAY(EOMONTH(DIEU_KHIEN!$B$4,0))-(1+MOD(7-WEEKDAY(DIEU_KHIEN!$B$4,2),7)))/7)),0)))</f>
        <v/>
      </c>
      <c r="S11" s="27"/>
      <c r="T11" s="27"/>
    </row>
    <row r="12">
      <c r="A12" s="17">
        <v>9.0</v>
      </c>
      <c r="B12" s="15"/>
      <c r="C12" s="15"/>
      <c r="D12" s="15"/>
      <c r="E12" s="15"/>
      <c r="F12" s="20"/>
      <c r="G12" s="22" t="s">
        <v>49</v>
      </c>
      <c r="H12" s="22" t="s">
        <v>49</v>
      </c>
      <c r="I12" s="22" t="s">
        <v>49</v>
      </c>
      <c r="J12" s="22" t="s">
        <v>49</v>
      </c>
      <c r="K12" s="22" t="s">
        <v>49</v>
      </c>
      <c r="L12" s="22" t="s">
        <v>49</v>
      </c>
      <c r="M12" s="22" t="s">
        <v>49</v>
      </c>
      <c r="N12" s="22" t="s">
        <v>56</v>
      </c>
      <c r="O12" s="33"/>
      <c r="P12" s="26" t="s">
        <v>93</v>
      </c>
      <c r="Q12" s="26"/>
      <c r="R12" s="27" t="str">
        <f>IF(B12="","",SUM(IF(G12="Có",MAX(0,1+INT((DAY(EOMONTH(DIEU_KHIEN!$B$4,0))-(1+MOD(1-WEEKDAY(DIEU_KHIEN!$B$4,2),7)))/7)),0),IF(H12="Có",MAX(0,1+INT((DAY(EOMONTH(DIEU_KHIEN!$B$4,0))-(1+MOD(2-WEEKDAY(DIEU_KHIEN!$B$4,2),7)))/7)),0),IF(I12="Có",MAX(0,1+INT((DAY(EOMONTH(DIEU_KHIEN!$B$4,0))-(1+MOD(3-WEEKDAY(DIEU_KHIEN!$B$4,2),7)))/7)),0),IF(J12="Có",MAX(0,1+INT((DAY(EOMONTH(DIEU_KHIEN!$B$4,0))-(1+MOD(4-WEEKDAY(DIEU_KHIEN!$B$4,2),7)))/7)),0),IF(K12="Có",MAX(0,1+INT((DAY(EOMONTH(DIEU_KHIEN!$B$4,0))-(1+MOD(5-WEEKDAY(DIEU_KHIEN!$B$4,2),7)))/7)),0),IF(L12="Có",MAX(0,1+INT((DAY(EOMONTH(DIEU_KHIEN!$B$4,0))-(1+MOD(6-WEEKDAY(DIEU_KHIEN!$B$4,2),7)))/7)),0),IF(M12="Có",MAX(0,1+INT((DAY(EOMONTH(DIEU_KHIEN!$B$4,0))-(1+MOD(7-WEEKDAY(DIEU_KHIEN!$B$4,2),7)))/7)),0)))</f>
        <v/>
      </c>
      <c r="S12" s="27"/>
      <c r="T12" s="27"/>
    </row>
    <row r="13">
      <c r="A13" s="17">
        <v>10.0</v>
      </c>
      <c r="B13" s="15"/>
      <c r="C13" s="15"/>
      <c r="D13" s="15"/>
      <c r="E13" s="15"/>
      <c r="F13" s="20"/>
      <c r="G13" s="22" t="s">
        <v>49</v>
      </c>
      <c r="H13" s="22" t="s">
        <v>49</v>
      </c>
      <c r="I13" s="22" t="s">
        <v>49</v>
      </c>
      <c r="J13" s="22" t="s">
        <v>49</v>
      </c>
      <c r="K13" s="22" t="s">
        <v>49</v>
      </c>
      <c r="L13" s="22" t="s">
        <v>49</v>
      </c>
      <c r="M13" s="22" t="s">
        <v>49</v>
      </c>
      <c r="N13" s="22" t="s">
        <v>56</v>
      </c>
      <c r="O13" s="33"/>
      <c r="P13" s="26" t="s">
        <v>93</v>
      </c>
      <c r="Q13" s="26"/>
      <c r="R13" s="27" t="str">
        <f>IF(B13="","",SUM(IF(G13="Có",MAX(0,1+INT((DAY(EOMONTH(DIEU_KHIEN!$B$4,0))-(1+MOD(1-WEEKDAY(DIEU_KHIEN!$B$4,2),7)))/7)),0),IF(H13="Có",MAX(0,1+INT((DAY(EOMONTH(DIEU_KHIEN!$B$4,0))-(1+MOD(2-WEEKDAY(DIEU_KHIEN!$B$4,2),7)))/7)),0),IF(I13="Có",MAX(0,1+INT((DAY(EOMONTH(DIEU_KHIEN!$B$4,0))-(1+MOD(3-WEEKDAY(DIEU_KHIEN!$B$4,2),7)))/7)),0),IF(J13="Có",MAX(0,1+INT((DAY(EOMONTH(DIEU_KHIEN!$B$4,0))-(1+MOD(4-WEEKDAY(DIEU_KHIEN!$B$4,2),7)))/7)),0),IF(K13="Có",MAX(0,1+INT((DAY(EOMONTH(DIEU_KHIEN!$B$4,0))-(1+MOD(5-WEEKDAY(DIEU_KHIEN!$B$4,2),7)))/7)),0),IF(L13="Có",MAX(0,1+INT((DAY(EOMONTH(DIEU_KHIEN!$B$4,0))-(1+MOD(6-WEEKDAY(DIEU_KHIEN!$B$4,2),7)))/7)),0),IF(M13="Có",MAX(0,1+INT((DAY(EOMONTH(DIEU_KHIEN!$B$4,0))-(1+MOD(7-WEEKDAY(DIEU_KHIEN!$B$4,2),7)))/7)),0)))</f>
        <v/>
      </c>
      <c r="S13" s="27"/>
      <c r="T13" s="27"/>
    </row>
    <row r="14">
      <c r="A14" s="17">
        <v>11.0</v>
      </c>
      <c r="B14" s="15"/>
      <c r="C14" s="15"/>
      <c r="D14" s="15"/>
      <c r="E14" s="15"/>
      <c r="F14" s="20"/>
      <c r="G14" s="22" t="s">
        <v>49</v>
      </c>
      <c r="H14" s="22" t="s">
        <v>49</v>
      </c>
      <c r="I14" s="22" t="s">
        <v>49</v>
      </c>
      <c r="J14" s="22" t="s">
        <v>49</v>
      </c>
      <c r="K14" s="22" t="s">
        <v>49</v>
      </c>
      <c r="L14" s="22" t="s">
        <v>49</v>
      </c>
      <c r="M14" s="22" t="s">
        <v>49</v>
      </c>
      <c r="N14" s="22" t="s">
        <v>56</v>
      </c>
      <c r="O14" s="33"/>
      <c r="P14" s="26" t="s">
        <v>93</v>
      </c>
      <c r="Q14" s="26"/>
      <c r="R14" s="27" t="str">
        <f>IF(B14="","",SUM(IF(G14="Có",MAX(0,1+INT((DAY(EOMONTH(DIEU_KHIEN!$B$4,0))-(1+MOD(1-WEEKDAY(DIEU_KHIEN!$B$4,2),7)))/7)),0),IF(H14="Có",MAX(0,1+INT((DAY(EOMONTH(DIEU_KHIEN!$B$4,0))-(1+MOD(2-WEEKDAY(DIEU_KHIEN!$B$4,2),7)))/7)),0),IF(I14="Có",MAX(0,1+INT((DAY(EOMONTH(DIEU_KHIEN!$B$4,0))-(1+MOD(3-WEEKDAY(DIEU_KHIEN!$B$4,2),7)))/7)),0),IF(J14="Có",MAX(0,1+INT((DAY(EOMONTH(DIEU_KHIEN!$B$4,0))-(1+MOD(4-WEEKDAY(DIEU_KHIEN!$B$4,2),7)))/7)),0),IF(K14="Có",MAX(0,1+INT((DAY(EOMONTH(DIEU_KHIEN!$B$4,0))-(1+MOD(5-WEEKDAY(DIEU_KHIEN!$B$4,2),7)))/7)),0),IF(L14="Có",MAX(0,1+INT((DAY(EOMONTH(DIEU_KHIEN!$B$4,0))-(1+MOD(6-WEEKDAY(DIEU_KHIEN!$B$4,2),7)))/7)),0),IF(M14="Có",MAX(0,1+INT((DAY(EOMONTH(DIEU_KHIEN!$B$4,0))-(1+MOD(7-WEEKDAY(DIEU_KHIEN!$B$4,2),7)))/7)),0)))</f>
        <v/>
      </c>
      <c r="S14" s="27"/>
      <c r="T14" s="27"/>
    </row>
    <row r="15">
      <c r="A15" s="17">
        <v>12.0</v>
      </c>
      <c r="B15" s="15"/>
      <c r="C15" s="15"/>
      <c r="D15" s="15"/>
      <c r="E15" s="15"/>
      <c r="F15" s="20"/>
      <c r="G15" s="22" t="s">
        <v>49</v>
      </c>
      <c r="H15" s="22" t="s">
        <v>49</v>
      </c>
      <c r="I15" s="22" t="s">
        <v>49</v>
      </c>
      <c r="J15" s="22" t="s">
        <v>49</v>
      </c>
      <c r="K15" s="22" t="s">
        <v>49</v>
      </c>
      <c r="L15" s="22" t="s">
        <v>49</v>
      </c>
      <c r="M15" s="22" t="s">
        <v>49</v>
      </c>
      <c r="N15" s="22" t="s">
        <v>56</v>
      </c>
      <c r="O15" s="33"/>
      <c r="P15" s="26" t="s">
        <v>93</v>
      </c>
      <c r="Q15" s="26"/>
      <c r="R15" s="27" t="str">
        <f>IF(B15="","",SUM(IF(G15="Có",MAX(0,1+INT((DAY(EOMONTH(DIEU_KHIEN!$B$4,0))-(1+MOD(1-WEEKDAY(DIEU_KHIEN!$B$4,2),7)))/7)),0),IF(H15="Có",MAX(0,1+INT((DAY(EOMONTH(DIEU_KHIEN!$B$4,0))-(1+MOD(2-WEEKDAY(DIEU_KHIEN!$B$4,2),7)))/7)),0),IF(I15="Có",MAX(0,1+INT((DAY(EOMONTH(DIEU_KHIEN!$B$4,0))-(1+MOD(3-WEEKDAY(DIEU_KHIEN!$B$4,2),7)))/7)),0),IF(J15="Có",MAX(0,1+INT((DAY(EOMONTH(DIEU_KHIEN!$B$4,0))-(1+MOD(4-WEEKDAY(DIEU_KHIEN!$B$4,2),7)))/7)),0),IF(K15="Có",MAX(0,1+INT((DAY(EOMONTH(DIEU_KHIEN!$B$4,0))-(1+MOD(5-WEEKDAY(DIEU_KHIEN!$B$4,2),7)))/7)),0),IF(L15="Có",MAX(0,1+INT((DAY(EOMONTH(DIEU_KHIEN!$B$4,0))-(1+MOD(6-WEEKDAY(DIEU_KHIEN!$B$4,2),7)))/7)),0),IF(M15="Có",MAX(0,1+INT((DAY(EOMONTH(DIEU_KHIEN!$B$4,0))-(1+MOD(7-WEEKDAY(DIEU_KHIEN!$B$4,2),7)))/7)),0)))</f>
        <v/>
      </c>
      <c r="S15" s="27"/>
      <c r="T15" s="2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Q1"/>
  </mergeCells>
  <conditionalFormatting sqref="P4:P15">
    <cfRule type="expression" dxfId="0" priority="1">
      <formula>P4="Hoạt động"</formula>
    </cfRule>
  </conditionalFormatting>
  <conditionalFormatting sqref="P4:P15">
    <cfRule type="expression" dxfId="2" priority="2">
      <formula>P4="Chưa dùng"</formula>
    </cfRule>
  </conditionalFormatting>
  <dataValidations>
    <dataValidation type="list" allowBlank="1" sqref="P4:P15">
      <formula1>"Hoạt động,Chưa dùng"</formula1>
    </dataValidation>
    <dataValidation type="list" allowBlank="1" sqref="G4:M15">
      <formula1>"Có,Không"</formula1>
    </dataValidation>
    <dataValidation type="list" allowBlank="1" sqref="N4:N15">
      <formula1>"Theo buổi,Thu trước"</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0"/>
    <col customWidth="1" min="3" max="3" width="25.0"/>
    <col customWidth="1" min="4" max="4" width="16.0"/>
    <col customWidth="1" min="5" max="5" width="25.0"/>
    <col customWidth="1" min="6" max="6" width="35.0"/>
  </cols>
  <sheetData>
    <row r="1" ht="30.0" customHeight="1">
      <c r="A1" s="1" t="s">
        <v>1</v>
      </c>
    </row>
    <row r="2">
      <c r="A2" s="3"/>
      <c r="B2" s="3"/>
      <c r="C2" s="3"/>
      <c r="D2" s="3"/>
      <c r="E2" s="3"/>
      <c r="F2" s="3"/>
    </row>
    <row r="3" ht="27.75" customHeight="1">
      <c r="A3" s="5" t="s">
        <v>10</v>
      </c>
      <c r="B3" s="5" t="s">
        <v>14</v>
      </c>
      <c r="C3" s="5" t="s">
        <v>16</v>
      </c>
      <c r="D3" s="5" t="s">
        <v>17</v>
      </c>
      <c r="E3" s="5" t="s">
        <v>18</v>
      </c>
      <c r="F3" s="5" t="s">
        <v>15</v>
      </c>
    </row>
    <row r="4">
      <c r="A4" s="9"/>
      <c r="B4" s="9"/>
      <c r="C4" s="9"/>
      <c r="D4" s="11"/>
      <c r="E4" s="9"/>
      <c r="F4" s="9"/>
    </row>
    <row r="5">
      <c r="A5" s="9"/>
      <c r="B5" s="9"/>
      <c r="C5" s="9"/>
      <c r="D5" s="11"/>
      <c r="E5" s="9"/>
      <c r="F5" s="9"/>
    </row>
    <row r="6">
      <c r="A6" s="9"/>
      <c r="B6" s="9"/>
      <c r="C6" s="9"/>
      <c r="D6" s="11"/>
      <c r="E6" s="9"/>
      <c r="F6" s="9"/>
    </row>
    <row r="7">
      <c r="A7" s="9"/>
      <c r="B7" s="9"/>
      <c r="C7" s="9"/>
      <c r="D7" s="11"/>
      <c r="E7" s="9"/>
      <c r="F7" s="9"/>
    </row>
    <row r="8">
      <c r="A8" s="9"/>
      <c r="B8" s="9"/>
      <c r="C8" s="9"/>
      <c r="D8" s="11"/>
      <c r="E8" s="9"/>
      <c r="F8" s="9"/>
    </row>
    <row r="9">
      <c r="A9" s="9"/>
      <c r="B9" s="9"/>
      <c r="C9" s="9"/>
      <c r="D9" s="11"/>
      <c r="E9" s="9"/>
      <c r="F9" s="9"/>
    </row>
    <row r="10">
      <c r="A10" s="9"/>
      <c r="B10" s="9"/>
      <c r="C10" s="9"/>
      <c r="D10" s="11"/>
      <c r="E10" s="9"/>
      <c r="F10" s="9"/>
    </row>
    <row r="11">
      <c r="A11" s="9"/>
      <c r="B11" s="9"/>
      <c r="C11" s="9"/>
      <c r="D11" s="11"/>
      <c r="E11" s="9"/>
      <c r="F11" s="9"/>
    </row>
    <row r="12">
      <c r="A12" s="9"/>
      <c r="B12" s="9"/>
      <c r="C12" s="9"/>
      <c r="D12" s="11"/>
      <c r="E12" s="9"/>
      <c r="F12" s="9"/>
    </row>
    <row r="13">
      <c r="A13" s="9"/>
      <c r="B13" s="9"/>
      <c r="C13" s="9"/>
      <c r="D13" s="11"/>
      <c r="E13" s="9"/>
      <c r="F13" s="9"/>
    </row>
    <row r="14">
      <c r="A14" s="9"/>
      <c r="B14" s="9"/>
      <c r="C14" s="9"/>
      <c r="D14" s="11"/>
      <c r="E14" s="9"/>
      <c r="F14" s="9"/>
    </row>
    <row r="15">
      <c r="A15" s="9"/>
      <c r="B15" s="9"/>
      <c r="C15" s="9"/>
      <c r="D15" s="11"/>
      <c r="E15" s="9"/>
      <c r="F15" s="9"/>
    </row>
    <row r="16">
      <c r="A16" s="9"/>
      <c r="B16" s="9"/>
      <c r="C16" s="9"/>
      <c r="D16" s="11"/>
      <c r="E16" s="9"/>
      <c r="F16" s="9"/>
    </row>
    <row r="17">
      <c r="A17" s="9"/>
      <c r="B17" s="9"/>
      <c r="C17" s="9"/>
      <c r="D17" s="11"/>
      <c r="E17" s="9"/>
      <c r="F17" s="9"/>
    </row>
    <row r="18">
      <c r="A18" s="9"/>
      <c r="B18" s="9"/>
      <c r="C18" s="9"/>
      <c r="D18" s="11"/>
      <c r="E18" s="9"/>
      <c r="F18" s="9"/>
    </row>
    <row r="19">
      <c r="A19" s="9"/>
      <c r="B19" s="9"/>
      <c r="C19" s="9"/>
      <c r="D19" s="11"/>
      <c r="E19" s="9"/>
      <c r="F19" s="9"/>
    </row>
    <row r="20">
      <c r="A20" s="9"/>
      <c r="B20" s="9"/>
      <c r="C20" s="9"/>
      <c r="D20" s="11"/>
      <c r="E20" s="9"/>
      <c r="F20" s="9"/>
    </row>
    <row r="21" ht="15.75" customHeight="1">
      <c r="A21" s="9"/>
      <c r="B21" s="9"/>
      <c r="C21" s="9"/>
      <c r="D21" s="11"/>
      <c r="E21" s="9"/>
      <c r="F21" s="9"/>
    </row>
    <row r="22" ht="15.75" customHeight="1">
      <c r="A22" s="9"/>
      <c r="B22" s="9"/>
      <c r="C22" s="9"/>
      <c r="D22" s="11"/>
      <c r="E22" s="9"/>
      <c r="F22" s="9"/>
    </row>
    <row r="23" ht="15.75" customHeight="1">
      <c r="A23" s="9"/>
      <c r="B23" s="9"/>
      <c r="C23" s="9"/>
      <c r="D23" s="11"/>
      <c r="E23" s="9"/>
      <c r="F23" s="9"/>
    </row>
    <row r="24" ht="15.75" customHeight="1">
      <c r="A24" s="9"/>
      <c r="B24" s="9"/>
      <c r="C24" s="9"/>
      <c r="D24" s="11"/>
      <c r="E24" s="9"/>
      <c r="F24" s="9"/>
    </row>
    <row r="25" ht="15.75" customHeight="1">
      <c r="A25" s="9"/>
      <c r="B25" s="9"/>
      <c r="C25" s="9"/>
      <c r="D25" s="11"/>
      <c r="E25" s="9"/>
      <c r="F25" s="9"/>
    </row>
    <row r="26" ht="15.75" customHeight="1">
      <c r="A26" s="9"/>
      <c r="B26" s="9"/>
      <c r="C26" s="9"/>
      <c r="D26" s="11"/>
      <c r="E26" s="9"/>
      <c r="F26" s="9"/>
    </row>
    <row r="27" ht="15.75" customHeight="1">
      <c r="A27" s="9"/>
      <c r="B27" s="9"/>
      <c r="C27" s="9"/>
      <c r="D27" s="11"/>
      <c r="E27" s="9"/>
      <c r="F27" s="9"/>
    </row>
    <row r="28" ht="15.75" customHeight="1">
      <c r="A28" s="9"/>
      <c r="B28" s="9"/>
      <c r="C28" s="9"/>
      <c r="D28" s="11"/>
      <c r="E28" s="9"/>
      <c r="F28" s="9"/>
    </row>
    <row r="29" ht="15.75" customHeight="1">
      <c r="A29" s="9"/>
      <c r="B29" s="9"/>
      <c r="C29" s="9"/>
      <c r="D29" s="11"/>
      <c r="E29" s="9"/>
      <c r="F29" s="9"/>
    </row>
    <row r="30" ht="15.75" customHeight="1">
      <c r="A30" s="9"/>
      <c r="B30" s="9"/>
      <c r="C30" s="9"/>
      <c r="D30" s="11"/>
      <c r="E30" s="9"/>
      <c r="F30" s="9"/>
    </row>
    <row r="31" ht="15.75" customHeight="1">
      <c r="A31" s="9"/>
      <c r="B31" s="9"/>
      <c r="C31" s="9"/>
      <c r="D31" s="11"/>
      <c r="E31" s="9"/>
      <c r="F31" s="9"/>
    </row>
    <row r="32" ht="15.75" customHeight="1">
      <c r="A32" s="9"/>
      <c r="B32" s="9"/>
      <c r="C32" s="9"/>
      <c r="D32" s="11"/>
      <c r="E32" s="9"/>
      <c r="F32" s="9"/>
    </row>
    <row r="33" ht="15.75" customHeight="1">
      <c r="A33" s="9"/>
      <c r="B33" s="9"/>
      <c r="C33" s="9"/>
      <c r="D33" s="11"/>
      <c r="E33" s="9"/>
      <c r="F33" s="9"/>
    </row>
    <row r="34" ht="15.75" customHeight="1">
      <c r="A34" s="9"/>
      <c r="B34" s="9"/>
      <c r="C34" s="9"/>
      <c r="D34" s="11"/>
      <c r="E34" s="9"/>
      <c r="F34" s="9"/>
    </row>
    <row r="35" ht="15.75" customHeight="1">
      <c r="A35" s="9"/>
      <c r="B35" s="9"/>
      <c r="C35" s="9"/>
      <c r="D35" s="11"/>
      <c r="E35" s="9"/>
      <c r="F35" s="9"/>
    </row>
    <row r="36" ht="15.75" customHeight="1">
      <c r="A36" s="9"/>
      <c r="B36" s="9"/>
      <c r="C36" s="9"/>
      <c r="D36" s="11"/>
      <c r="E36" s="9"/>
      <c r="F36" s="9"/>
    </row>
    <row r="37" ht="15.75" customHeight="1">
      <c r="A37" s="9"/>
      <c r="B37" s="9"/>
      <c r="C37" s="9"/>
      <c r="D37" s="11"/>
      <c r="E37" s="9"/>
      <c r="F37" s="9"/>
    </row>
    <row r="38" ht="15.75" customHeight="1">
      <c r="A38" s="9"/>
      <c r="B38" s="9"/>
      <c r="C38" s="9"/>
      <c r="D38" s="11"/>
      <c r="E38" s="9"/>
      <c r="F38" s="9"/>
    </row>
    <row r="39" ht="15.75" customHeight="1">
      <c r="A39" s="9"/>
      <c r="B39" s="9"/>
      <c r="C39" s="9"/>
      <c r="D39" s="11"/>
      <c r="E39" s="9"/>
      <c r="F39" s="9"/>
    </row>
    <row r="40" ht="15.75" customHeight="1">
      <c r="A40" s="9"/>
      <c r="B40" s="9"/>
      <c r="C40" s="9"/>
      <c r="D40" s="11"/>
      <c r="E40" s="9"/>
      <c r="F40" s="9"/>
    </row>
    <row r="41" ht="15.75" customHeight="1">
      <c r="A41" s="9"/>
      <c r="B41" s="9"/>
      <c r="C41" s="9"/>
      <c r="D41" s="11"/>
      <c r="E41" s="9"/>
      <c r="F41" s="9"/>
    </row>
    <row r="42" ht="15.75" customHeight="1">
      <c r="A42" s="9"/>
      <c r="B42" s="9"/>
      <c r="C42" s="9"/>
      <c r="D42" s="11"/>
      <c r="E42" s="9"/>
      <c r="F42" s="9"/>
    </row>
    <row r="43" ht="15.75" customHeight="1">
      <c r="A43" s="9"/>
      <c r="B43" s="9"/>
      <c r="C43" s="9"/>
      <c r="D43" s="11"/>
      <c r="E43" s="9"/>
      <c r="F43" s="9"/>
    </row>
    <row r="44" ht="15.75" customHeight="1">
      <c r="A44" s="9"/>
      <c r="B44" s="9"/>
      <c r="C44" s="9"/>
      <c r="D44" s="11"/>
      <c r="E44" s="9"/>
      <c r="F44" s="9"/>
    </row>
    <row r="45" ht="15.75" customHeight="1">
      <c r="A45" s="9"/>
      <c r="B45" s="9"/>
      <c r="C45" s="9"/>
      <c r="D45" s="11"/>
      <c r="E45" s="9"/>
      <c r="F45" s="9"/>
    </row>
    <row r="46" ht="15.75" customHeight="1">
      <c r="A46" s="9"/>
      <c r="B46" s="9"/>
      <c r="C46" s="9"/>
      <c r="D46" s="11"/>
      <c r="E46" s="9"/>
      <c r="F46" s="9"/>
    </row>
    <row r="47" ht="15.75" customHeight="1">
      <c r="A47" s="9"/>
      <c r="B47" s="9"/>
      <c r="C47" s="9"/>
      <c r="D47" s="11"/>
      <c r="E47" s="9"/>
      <c r="F47" s="9"/>
    </row>
    <row r="48" ht="15.75" customHeight="1">
      <c r="A48" s="9"/>
      <c r="B48" s="9"/>
      <c r="C48" s="9"/>
      <c r="D48" s="11"/>
      <c r="E48" s="9"/>
      <c r="F48" s="9"/>
    </row>
    <row r="49" ht="15.75" customHeight="1">
      <c r="A49" s="9"/>
      <c r="B49" s="9"/>
      <c r="C49" s="9"/>
      <c r="D49" s="11"/>
      <c r="E49" s="9"/>
      <c r="F49" s="9"/>
    </row>
    <row r="50" ht="15.75" customHeight="1">
      <c r="A50" s="9"/>
      <c r="B50" s="9"/>
      <c r="C50" s="9"/>
      <c r="D50" s="11"/>
      <c r="E50" s="9"/>
      <c r="F50" s="9"/>
    </row>
    <row r="51" ht="15.75" customHeight="1">
      <c r="A51" s="9"/>
      <c r="B51" s="9"/>
      <c r="C51" s="9"/>
      <c r="D51" s="11"/>
      <c r="E51" s="9"/>
      <c r="F51" s="9"/>
    </row>
    <row r="52" ht="15.75" customHeight="1">
      <c r="A52" s="9"/>
      <c r="B52" s="9"/>
      <c r="C52" s="9"/>
      <c r="D52" s="11"/>
      <c r="E52" s="9"/>
      <c r="F52" s="9"/>
    </row>
    <row r="53" ht="15.75" customHeight="1">
      <c r="A53" s="9"/>
      <c r="B53" s="9"/>
      <c r="C53" s="9"/>
      <c r="D53" s="11"/>
      <c r="E53" s="9"/>
      <c r="F53" s="9"/>
    </row>
    <row r="54" ht="15.75" customHeight="1">
      <c r="A54" s="9"/>
      <c r="B54" s="9"/>
      <c r="C54" s="9"/>
      <c r="D54" s="11"/>
      <c r="E54" s="9"/>
      <c r="F54" s="9"/>
    </row>
    <row r="55" ht="15.75" customHeight="1">
      <c r="A55" s="9"/>
      <c r="B55" s="9"/>
      <c r="C55" s="9"/>
      <c r="D55" s="11"/>
      <c r="E55" s="9"/>
      <c r="F55" s="9"/>
    </row>
    <row r="56" ht="15.75" customHeight="1">
      <c r="A56" s="9"/>
      <c r="B56" s="9"/>
      <c r="C56" s="9"/>
      <c r="D56" s="11"/>
      <c r="E56" s="9"/>
      <c r="F56" s="9"/>
    </row>
    <row r="57" ht="15.75" customHeight="1">
      <c r="A57" s="9"/>
      <c r="B57" s="9"/>
      <c r="C57" s="9"/>
      <c r="D57" s="11"/>
      <c r="E57" s="9"/>
      <c r="F57" s="9"/>
    </row>
    <row r="58" ht="15.75" customHeight="1">
      <c r="A58" s="9"/>
      <c r="B58" s="9"/>
      <c r="C58" s="9"/>
      <c r="D58" s="11"/>
      <c r="E58" s="9"/>
      <c r="F58" s="9"/>
    </row>
    <row r="59" ht="15.75" customHeight="1">
      <c r="A59" s="9"/>
      <c r="B59" s="9"/>
      <c r="C59" s="9"/>
      <c r="D59" s="11"/>
      <c r="E59" s="9"/>
      <c r="F59" s="9"/>
    </row>
    <row r="60" ht="15.75" customHeight="1">
      <c r="A60" s="9"/>
      <c r="B60" s="9"/>
      <c r="C60" s="9"/>
      <c r="D60" s="11"/>
      <c r="E60" s="9"/>
      <c r="F60" s="9"/>
    </row>
    <row r="61" ht="15.75" customHeight="1">
      <c r="A61" s="9"/>
      <c r="B61" s="9"/>
      <c r="C61" s="9"/>
      <c r="D61" s="11"/>
      <c r="E61" s="9"/>
      <c r="F61" s="9"/>
    </row>
    <row r="62" ht="15.75" customHeight="1">
      <c r="A62" s="9"/>
      <c r="B62" s="9"/>
      <c r="C62" s="9"/>
      <c r="D62" s="11"/>
      <c r="E62" s="9"/>
      <c r="F62" s="9"/>
    </row>
    <row r="63" ht="15.75" customHeight="1">
      <c r="A63" s="9"/>
      <c r="B63" s="9"/>
      <c r="C63" s="9"/>
      <c r="D63" s="11"/>
      <c r="E63" s="9"/>
      <c r="F63" s="9"/>
    </row>
    <row r="64" ht="15.75" customHeight="1">
      <c r="A64" s="9"/>
      <c r="B64" s="9"/>
      <c r="C64" s="9"/>
      <c r="D64" s="11"/>
      <c r="E64" s="9"/>
      <c r="F64" s="9"/>
    </row>
    <row r="65" ht="15.75" customHeight="1">
      <c r="A65" s="9"/>
      <c r="B65" s="9"/>
      <c r="C65" s="9"/>
      <c r="D65" s="11"/>
      <c r="E65" s="9"/>
      <c r="F65" s="9"/>
    </row>
    <row r="66" ht="15.75" customHeight="1">
      <c r="A66" s="9"/>
      <c r="B66" s="9"/>
      <c r="C66" s="9"/>
      <c r="D66" s="11"/>
      <c r="E66" s="9"/>
      <c r="F66" s="9"/>
    </row>
    <row r="67" ht="15.75" customHeight="1">
      <c r="A67" s="9"/>
      <c r="B67" s="9"/>
      <c r="C67" s="9"/>
      <c r="D67" s="11"/>
      <c r="E67" s="9"/>
      <c r="F67" s="9"/>
    </row>
    <row r="68" ht="15.75" customHeight="1">
      <c r="A68" s="9"/>
      <c r="B68" s="9"/>
      <c r="C68" s="9"/>
      <c r="D68" s="11"/>
      <c r="E68" s="9"/>
      <c r="F68" s="9"/>
    </row>
    <row r="69" ht="15.75" customHeight="1">
      <c r="A69" s="9"/>
      <c r="B69" s="9"/>
      <c r="C69" s="9"/>
      <c r="D69" s="11"/>
      <c r="E69" s="9"/>
      <c r="F69" s="9"/>
    </row>
    <row r="70" ht="15.75" customHeight="1">
      <c r="A70" s="9"/>
      <c r="B70" s="9"/>
      <c r="C70" s="9"/>
      <c r="D70" s="11"/>
      <c r="E70" s="9"/>
      <c r="F70" s="9"/>
    </row>
    <row r="71" ht="15.75" customHeight="1">
      <c r="A71" s="9"/>
      <c r="B71" s="9"/>
      <c r="C71" s="9"/>
      <c r="D71" s="11"/>
      <c r="E71" s="9"/>
      <c r="F71" s="9"/>
    </row>
    <row r="72" ht="15.75" customHeight="1">
      <c r="A72" s="9"/>
      <c r="B72" s="9"/>
      <c r="C72" s="9"/>
      <c r="D72" s="11"/>
      <c r="E72" s="9"/>
      <c r="F72" s="9"/>
    </row>
    <row r="73" ht="15.75" customHeight="1">
      <c r="A73" s="9"/>
      <c r="B73" s="9"/>
      <c r="C73" s="9"/>
      <c r="D73" s="11"/>
      <c r="E73" s="9"/>
      <c r="F73" s="9"/>
    </row>
    <row r="74" ht="15.75" customHeight="1">
      <c r="A74" s="9"/>
      <c r="B74" s="9"/>
      <c r="C74" s="9"/>
      <c r="D74" s="11"/>
      <c r="E74" s="9"/>
      <c r="F74" s="9"/>
    </row>
    <row r="75" ht="15.75" customHeight="1">
      <c r="A75" s="9"/>
      <c r="B75" s="9"/>
      <c r="C75" s="9"/>
      <c r="D75" s="11"/>
      <c r="E75" s="9"/>
      <c r="F75" s="9"/>
    </row>
    <row r="76" ht="15.75" customHeight="1">
      <c r="A76" s="9"/>
      <c r="B76" s="9"/>
      <c r="C76" s="9"/>
      <c r="D76" s="11"/>
      <c r="E76" s="9"/>
      <c r="F76" s="9"/>
    </row>
    <row r="77" ht="15.75" customHeight="1">
      <c r="A77" s="9"/>
      <c r="B77" s="9"/>
      <c r="C77" s="9"/>
      <c r="D77" s="11"/>
      <c r="E77" s="9"/>
      <c r="F77" s="9"/>
    </row>
    <row r="78" ht="15.75" customHeight="1">
      <c r="A78" s="9"/>
      <c r="B78" s="9"/>
      <c r="C78" s="9"/>
      <c r="D78" s="11"/>
      <c r="E78" s="9"/>
      <c r="F78" s="9"/>
    </row>
    <row r="79" ht="15.75" customHeight="1">
      <c r="A79" s="9"/>
      <c r="B79" s="9"/>
      <c r="C79" s="9"/>
      <c r="D79" s="11"/>
      <c r="E79" s="9"/>
      <c r="F79" s="9"/>
    </row>
    <row r="80" ht="15.75" customHeight="1">
      <c r="A80" s="9"/>
      <c r="B80" s="9"/>
      <c r="C80" s="9"/>
      <c r="D80" s="11"/>
      <c r="E80" s="9"/>
      <c r="F80" s="9"/>
    </row>
    <row r="81" ht="15.75" customHeight="1">
      <c r="A81" s="9"/>
      <c r="B81" s="9"/>
      <c r="C81" s="9"/>
      <c r="D81" s="11"/>
      <c r="E81" s="9"/>
      <c r="F81" s="9"/>
    </row>
    <row r="82" ht="15.75" customHeight="1">
      <c r="A82" s="9"/>
      <c r="B82" s="9"/>
      <c r="C82" s="9"/>
      <c r="D82" s="11"/>
      <c r="E82" s="9"/>
      <c r="F82" s="9"/>
    </row>
    <row r="83" ht="15.75" customHeight="1">
      <c r="A83" s="9"/>
      <c r="B83" s="9"/>
      <c r="C83" s="9"/>
      <c r="D83" s="11"/>
      <c r="E83" s="9"/>
      <c r="F83" s="9"/>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10.0"/>
    <col customWidth="1" min="3" max="3" width="18.0"/>
    <col customWidth="1" min="4" max="4" width="12.0"/>
    <col customWidth="1" min="5" max="5" width="34.0"/>
    <col customWidth="1" min="6" max="6" width="16.0"/>
    <col customWidth="1" min="7" max="7" width="34.0"/>
  </cols>
  <sheetData>
    <row r="1" ht="30.0" customHeight="1">
      <c r="A1" s="1" t="s">
        <v>3</v>
      </c>
    </row>
    <row r="2">
      <c r="A2" s="3"/>
      <c r="B2" s="3"/>
      <c r="C2" s="3"/>
      <c r="D2" s="3"/>
      <c r="E2" s="3"/>
      <c r="F2" s="3"/>
      <c r="G2" s="3"/>
    </row>
    <row r="3" ht="27.75" customHeight="1">
      <c r="A3" s="5" t="s">
        <v>5</v>
      </c>
      <c r="B3" s="5" t="s">
        <v>8</v>
      </c>
      <c r="C3" s="5" t="s">
        <v>9</v>
      </c>
      <c r="D3" s="5" t="s">
        <v>10</v>
      </c>
      <c r="E3" s="5" t="s">
        <v>11</v>
      </c>
      <c r="F3" s="5" t="s">
        <v>12</v>
      </c>
      <c r="G3" s="5" t="s">
        <v>15</v>
      </c>
    </row>
    <row r="4">
      <c r="A4" s="7"/>
      <c r="B4" s="15" t="s">
        <v>37</v>
      </c>
      <c r="C4" s="15"/>
      <c r="D4" s="15"/>
      <c r="E4" s="15"/>
      <c r="F4" s="23">
        <f>200000*4</f>
        <v>800000</v>
      </c>
      <c r="G4" s="25"/>
    </row>
    <row r="5">
      <c r="A5" s="7"/>
      <c r="B5" s="15" t="s">
        <v>37</v>
      </c>
      <c r="C5" s="15"/>
      <c r="D5" s="15"/>
      <c r="E5" s="15"/>
      <c r="F5" s="23">
        <v>5470898.0</v>
      </c>
      <c r="G5" s="25"/>
    </row>
    <row r="6">
      <c r="A6" s="7"/>
      <c r="B6" s="15" t="s">
        <v>37</v>
      </c>
      <c r="C6" s="15"/>
      <c r="D6" s="15"/>
      <c r="E6" s="15"/>
      <c r="F6" s="20"/>
      <c r="G6" s="25"/>
    </row>
    <row r="7">
      <c r="A7" s="7"/>
      <c r="B7" s="15" t="s">
        <v>37</v>
      </c>
      <c r="C7" s="15"/>
      <c r="D7" s="15"/>
      <c r="E7" s="15"/>
      <c r="F7" s="20"/>
      <c r="G7" s="25"/>
    </row>
    <row r="8">
      <c r="A8" s="7"/>
      <c r="B8" s="15" t="s">
        <v>37</v>
      </c>
      <c r="C8" s="15"/>
      <c r="D8" s="15"/>
      <c r="E8" s="15"/>
      <c r="F8" s="20"/>
      <c r="G8" s="25"/>
    </row>
    <row r="9">
      <c r="A9" s="7"/>
      <c r="B9" s="15" t="s">
        <v>37</v>
      </c>
      <c r="C9" s="15"/>
      <c r="D9" s="15"/>
      <c r="E9" s="15"/>
      <c r="F9" s="20"/>
      <c r="G9" s="25"/>
    </row>
    <row r="10">
      <c r="A10" s="7"/>
      <c r="B10" s="15" t="s">
        <v>37</v>
      </c>
      <c r="C10" s="15"/>
      <c r="D10" s="15"/>
      <c r="E10" s="15"/>
      <c r="F10" s="20"/>
      <c r="G10" s="25"/>
    </row>
    <row r="11">
      <c r="A11" s="7"/>
      <c r="B11" s="15" t="s">
        <v>37</v>
      </c>
      <c r="C11" s="15"/>
      <c r="D11" s="15"/>
      <c r="E11" s="15"/>
      <c r="F11" s="20"/>
      <c r="G11" s="25"/>
    </row>
    <row r="12">
      <c r="A12" s="7"/>
      <c r="B12" s="15" t="s">
        <v>37</v>
      </c>
      <c r="C12" s="15"/>
      <c r="D12" s="15"/>
      <c r="E12" s="15"/>
      <c r="F12" s="20"/>
      <c r="G12" s="25"/>
    </row>
    <row r="13">
      <c r="A13" s="7"/>
      <c r="B13" s="15" t="s">
        <v>37</v>
      </c>
      <c r="C13" s="15"/>
      <c r="D13" s="15"/>
      <c r="E13" s="15"/>
      <c r="F13" s="20"/>
      <c r="G13" s="25"/>
    </row>
    <row r="14">
      <c r="A14" s="7"/>
      <c r="B14" s="15" t="s">
        <v>37</v>
      </c>
      <c r="C14" s="15"/>
      <c r="D14" s="15"/>
      <c r="E14" s="15"/>
      <c r="F14" s="20"/>
      <c r="G14" s="25"/>
    </row>
    <row r="15">
      <c r="A15" s="7"/>
      <c r="B15" s="15" t="s">
        <v>37</v>
      </c>
      <c r="C15" s="15"/>
      <c r="D15" s="15"/>
      <c r="E15" s="15"/>
      <c r="F15" s="20"/>
      <c r="G15" s="25"/>
    </row>
    <row r="16">
      <c r="A16" s="7"/>
      <c r="B16" s="15" t="s">
        <v>37</v>
      </c>
      <c r="C16" s="15"/>
      <c r="D16" s="15"/>
      <c r="E16" s="15"/>
      <c r="F16" s="20"/>
      <c r="G16" s="25"/>
    </row>
    <row r="17">
      <c r="A17" s="7"/>
      <c r="B17" s="15" t="s">
        <v>37</v>
      </c>
      <c r="C17" s="15"/>
      <c r="D17" s="15"/>
      <c r="E17" s="15"/>
      <c r="F17" s="20"/>
      <c r="G17" s="25"/>
    </row>
    <row r="18">
      <c r="A18" s="7"/>
      <c r="B18" s="15" t="s">
        <v>37</v>
      </c>
      <c r="C18" s="15"/>
      <c r="D18" s="15"/>
      <c r="E18" s="15"/>
      <c r="F18" s="20"/>
      <c r="G18" s="25"/>
    </row>
    <row r="19">
      <c r="A19" s="7"/>
      <c r="B19" s="15" t="s">
        <v>37</v>
      </c>
      <c r="C19" s="15"/>
      <c r="D19" s="15"/>
      <c r="E19" s="15"/>
      <c r="F19" s="20"/>
      <c r="G19" s="25"/>
    </row>
    <row r="20">
      <c r="A20" s="7"/>
      <c r="B20" s="15" t="s">
        <v>37</v>
      </c>
      <c r="C20" s="15"/>
      <c r="D20" s="15"/>
      <c r="E20" s="15"/>
      <c r="F20" s="20"/>
      <c r="G20" s="25"/>
    </row>
    <row r="21" ht="15.75" customHeight="1">
      <c r="A21" s="7"/>
      <c r="B21" s="15" t="s">
        <v>37</v>
      </c>
      <c r="C21" s="15"/>
      <c r="D21" s="15"/>
      <c r="E21" s="15"/>
      <c r="F21" s="20"/>
      <c r="G21" s="25"/>
    </row>
    <row r="22" ht="15.75" customHeight="1">
      <c r="A22" s="7"/>
      <c r="B22" s="15" t="s">
        <v>37</v>
      </c>
      <c r="C22" s="15"/>
      <c r="D22" s="15"/>
      <c r="E22" s="15"/>
      <c r="F22" s="20"/>
      <c r="G22" s="25"/>
    </row>
    <row r="23" ht="15.75" customHeight="1">
      <c r="A23" s="7"/>
      <c r="B23" s="15" t="s">
        <v>37</v>
      </c>
      <c r="C23" s="15"/>
      <c r="D23" s="15"/>
      <c r="E23" s="15"/>
      <c r="F23" s="20"/>
      <c r="G23" s="25"/>
    </row>
    <row r="24" ht="15.75" customHeight="1">
      <c r="A24" s="7"/>
      <c r="B24" s="15" t="s">
        <v>37</v>
      </c>
      <c r="C24" s="15"/>
      <c r="D24" s="15"/>
      <c r="E24" s="15"/>
      <c r="F24" s="20"/>
      <c r="G24" s="25"/>
    </row>
    <row r="25" ht="15.75" customHeight="1">
      <c r="A25" s="7"/>
      <c r="B25" s="15" t="s">
        <v>37</v>
      </c>
      <c r="C25" s="15"/>
      <c r="D25" s="15"/>
      <c r="E25" s="15"/>
      <c r="F25" s="20"/>
      <c r="G25" s="25"/>
    </row>
    <row r="26" ht="15.75" customHeight="1">
      <c r="A26" s="7"/>
      <c r="B26" s="15" t="s">
        <v>37</v>
      </c>
      <c r="C26" s="15"/>
      <c r="D26" s="15"/>
      <c r="E26" s="15"/>
      <c r="F26" s="20"/>
      <c r="G26" s="25"/>
    </row>
    <row r="27" ht="15.75" customHeight="1">
      <c r="A27" s="7"/>
      <c r="B27" s="15" t="s">
        <v>37</v>
      </c>
      <c r="C27" s="15"/>
      <c r="D27" s="15"/>
      <c r="E27" s="15"/>
      <c r="F27" s="20"/>
      <c r="G27" s="25"/>
    </row>
    <row r="28" ht="15.75" customHeight="1">
      <c r="A28" s="7"/>
      <c r="B28" s="15" t="s">
        <v>37</v>
      </c>
      <c r="C28" s="15"/>
      <c r="D28" s="15"/>
      <c r="E28" s="15"/>
      <c r="F28" s="20"/>
      <c r="G28" s="25"/>
    </row>
    <row r="29" ht="15.75" customHeight="1">
      <c r="A29" s="7"/>
      <c r="B29" s="15" t="s">
        <v>37</v>
      </c>
      <c r="C29" s="15"/>
      <c r="D29" s="15"/>
      <c r="E29" s="15"/>
      <c r="F29" s="20"/>
      <c r="G29" s="25"/>
    </row>
    <row r="30" ht="15.75" customHeight="1">
      <c r="A30" s="7"/>
      <c r="B30" s="15" t="s">
        <v>37</v>
      </c>
      <c r="C30" s="15"/>
      <c r="D30" s="15"/>
      <c r="E30" s="15"/>
      <c r="F30" s="20"/>
      <c r="G30" s="25"/>
    </row>
    <row r="31" ht="15.75" customHeight="1">
      <c r="A31" s="7"/>
      <c r="B31" s="15" t="s">
        <v>37</v>
      </c>
      <c r="C31" s="15"/>
      <c r="D31" s="15"/>
      <c r="E31" s="15"/>
      <c r="F31" s="20"/>
      <c r="G31" s="25"/>
    </row>
    <row r="32" ht="15.75" customHeight="1">
      <c r="A32" s="7"/>
      <c r="B32" s="15" t="s">
        <v>37</v>
      </c>
      <c r="C32" s="15"/>
      <c r="D32" s="15"/>
      <c r="E32" s="15"/>
      <c r="F32" s="20"/>
      <c r="G32" s="25"/>
    </row>
    <row r="33" ht="15.75" customHeight="1">
      <c r="A33" s="7"/>
      <c r="B33" s="15" t="s">
        <v>37</v>
      </c>
      <c r="C33" s="15"/>
      <c r="D33" s="15"/>
      <c r="E33" s="15"/>
      <c r="F33" s="20"/>
      <c r="G33" s="25"/>
    </row>
    <row r="34" ht="15.75" customHeight="1">
      <c r="A34" s="7"/>
      <c r="B34" s="15" t="s">
        <v>37</v>
      </c>
      <c r="C34" s="15"/>
      <c r="D34" s="15"/>
      <c r="E34" s="15"/>
      <c r="F34" s="20"/>
      <c r="G34" s="25"/>
    </row>
    <row r="35" ht="15.75" customHeight="1">
      <c r="A35" s="7"/>
      <c r="B35" s="15" t="s">
        <v>37</v>
      </c>
      <c r="C35" s="15"/>
      <c r="D35" s="15"/>
      <c r="E35" s="15"/>
      <c r="F35" s="20"/>
      <c r="G35" s="25"/>
    </row>
    <row r="36" ht="15.75" customHeight="1">
      <c r="A36" s="7"/>
      <c r="B36" s="15" t="s">
        <v>37</v>
      </c>
      <c r="C36" s="15"/>
      <c r="D36" s="15"/>
      <c r="E36" s="15"/>
      <c r="F36" s="20"/>
      <c r="G36" s="25"/>
    </row>
    <row r="37" ht="15.75" customHeight="1">
      <c r="A37" s="7"/>
      <c r="B37" s="15" t="s">
        <v>37</v>
      </c>
      <c r="C37" s="15"/>
      <c r="D37" s="15"/>
      <c r="E37" s="15"/>
      <c r="F37" s="20"/>
      <c r="G37" s="25"/>
    </row>
    <row r="38" ht="15.75" customHeight="1">
      <c r="A38" s="7"/>
      <c r="B38" s="15" t="s">
        <v>37</v>
      </c>
      <c r="C38" s="15"/>
      <c r="D38" s="15"/>
      <c r="E38" s="15"/>
      <c r="F38" s="20"/>
      <c r="G38" s="25"/>
    </row>
    <row r="39" ht="15.75" customHeight="1">
      <c r="A39" s="7"/>
      <c r="B39" s="15" t="s">
        <v>37</v>
      </c>
      <c r="C39" s="15"/>
      <c r="D39" s="15"/>
      <c r="E39" s="15"/>
      <c r="F39" s="20"/>
      <c r="G39" s="25"/>
    </row>
    <row r="40" ht="15.75" customHeight="1">
      <c r="A40" s="7"/>
      <c r="B40" s="15" t="s">
        <v>37</v>
      </c>
      <c r="C40" s="15"/>
      <c r="D40" s="15"/>
      <c r="E40" s="15"/>
      <c r="F40" s="20"/>
      <c r="G40" s="25"/>
    </row>
    <row r="41" ht="15.75" customHeight="1">
      <c r="A41" s="7"/>
      <c r="B41" s="15" t="s">
        <v>37</v>
      </c>
      <c r="C41" s="15"/>
      <c r="D41" s="15"/>
      <c r="E41" s="15"/>
      <c r="F41" s="20"/>
      <c r="G41" s="25"/>
    </row>
    <row r="42" ht="15.75" customHeight="1">
      <c r="A42" s="7"/>
      <c r="B42" s="15" t="s">
        <v>37</v>
      </c>
      <c r="C42" s="15"/>
      <c r="D42" s="15"/>
      <c r="E42" s="15"/>
      <c r="F42" s="20"/>
      <c r="G42" s="25"/>
    </row>
    <row r="43" ht="15.75" customHeight="1">
      <c r="A43" s="7"/>
      <c r="B43" s="15" t="s">
        <v>37</v>
      </c>
      <c r="C43" s="15"/>
      <c r="D43" s="15"/>
      <c r="E43" s="15"/>
      <c r="F43" s="20"/>
      <c r="G43" s="25"/>
    </row>
    <row r="44" ht="15.75" customHeight="1">
      <c r="A44" s="7"/>
      <c r="B44" s="15" t="s">
        <v>37</v>
      </c>
      <c r="C44" s="15"/>
      <c r="D44" s="15"/>
      <c r="E44" s="15"/>
      <c r="F44" s="20"/>
      <c r="G44" s="25"/>
    </row>
    <row r="45" ht="15.75" customHeight="1">
      <c r="A45" s="7"/>
      <c r="B45" s="15" t="s">
        <v>37</v>
      </c>
      <c r="C45" s="15"/>
      <c r="D45" s="15"/>
      <c r="E45" s="15"/>
      <c r="F45" s="20"/>
      <c r="G45" s="25"/>
    </row>
    <row r="46" ht="15.75" customHeight="1">
      <c r="A46" s="7"/>
      <c r="B46" s="15" t="s">
        <v>37</v>
      </c>
      <c r="C46" s="15"/>
      <c r="D46" s="15"/>
      <c r="E46" s="15"/>
      <c r="F46" s="20"/>
      <c r="G46" s="25"/>
    </row>
    <row r="47" ht="15.75" customHeight="1">
      <c r="A47" s="7"/>
      <c r="B47" s="15" t="s">
        <v>37</v>
      </c>
      <c r="C47" s="15"/>
      <c r="D47" s="15"/>
      <c r="E47" s="15"/>
      <c r="F47" s="20"/>
      <c r="G47" s="25"/>
    </row>
    <row r="48" ht="15.75" customHeight="1">
      <c r="A48" s="7"/>
      <c r="B48" s="15" t="s">
        <v>37</v>
      </c>
      <c r="C48" s="15"/>
      <c r="D48" s="15"/>
      <c r="E48" s="15"/>
      <c r="F48" s="20"/>
      <c r="G48" s="25"/>
    </row>
    <row r="49" ht="15.75" customHeight="1">
      <c r="A49" s="7"/>
      <c r="B49" s="15" t="s">
        <v>37</v>
      </c>
      <c r="C49" s="15"/>
      <c r="D49" s="15"/>
      <c r="E49" s="15"/>
      <c r="F49" s="20"/>
      <c r="G49" s="25"/>
    </row>
    <row r="50" ht="15.75" customHeight="1">
      <c r="A50" s="7"/>
      <c r="B50" s="15" t="s">
        <v>37</v>
      </c>
      <c r="C50" s="15"/>
      <c r="D50" s="15"/>
      <c r="E50" s="15"/>
      <c r="F50" s="20"/>
      <c r="G50" s="25"/>
    </row>
    <row r="51" ht="15.75" customHeight="1">
      <c r="A51" s="7"/>
      <c r="B51" s="15" t="s">
        <v>37</v>
      </c>
      <c r="C51" s="15"/>
      <c r="D51" s="15"/>
      <c r="E51" s="15"/>
      <c r="F51" s="20"/>
      <c r="G51" s="25"/>
    </row>
    <row r="52" ht="15.75" customHeight="1">
      <c r="A52" s="7"/>
      <c r="B52" s="15" t="s">
        <v>37</v>
      </c>
      <c r="C52" s="15"/>
      <c r="D52" s="15"/>
      <c r="E52" s="15"/>
      <c r="F52" s="20"/>
      <c r="G52" s="25"/>
    </row>
    <row r="53" ht="15.75" customHeight="1">
      <c r="A53" s="7"/>
      <c r="B53" s="15" t="s">
        <v>37</v>
      </c>
      <c r="C53" s="15"/>
      <c r="D53" s="15"/>
      <c r="E53" s="15"/>
      <c r="F53" s="20"/>
      <c r="G53" s="25"/>
    </row>
    <row r="54" ht="15.75" customHeight="1">
      <c r="A54" s="7"/>
      <c r="B54" s="15" t="s">
        <v>37</v>
      </c>
      <c r="C54" s="15"/>
      <c r="D54" s="15"/>
      <c r="E54" s="15"/>
      <c r="F54" s="20"/>
      <c r="G54" s="25"/>
    </row>
    <row r="55" ht="15.75" customHeight="1">
      <c r="A55" s="7"/>
      <c r="B55" s="15" t="s">
        <v>37</v>
      </c>
      <c r="C55" s="15"/>
      <c r="D55" s="15"/>
      <c r="E55" s="15"/>
      <c r="F55" s="20"/>
      <c r="G55" s="25"/>
    </row>
    <row r="56" ht="15.75" customHeight="1">
      <c r="A56" s="7"/>
      <c r="B56" s="15" t="s">
        <v>37</v>
      </c>
      <c r="C56" s="15"/>
      <c r="D56" s="15"/>
      <c r="E56" s="15"/>
      <c r="F56" s="20"/>
      <c r="G56" s="25"/>
    </row>
    <row r="57" ht="15.75" customHeight="1">
      <c r="A57" s="7"/>
      <c r="B57" s="15" t="s">
        <v>37</v>
      </c>
      <c r="C57" s="15"/>
      <c r="D57" s="15"/>
      <c r="E57" s="15"/>
      <c r="F57" s="20"/>
      <c r="G57" s="25"/>
    </row>
    <row r="58" ht="15.75" customHeight="1">
      <c r="A58" s="7"/>
      <c r="B58" s="15" t="s">
        <v>37</v>
      </c>
      <c r="C58" s="15"/>
      <c r="D58" s="15"/>
      <c r="E58" s="15"/>
      <c r="F58" s="20"/>
      <c r="G58" s="25"/>
    </row>
    <row r="59" ht="15.75" customHeight="1">
      <c r="A59" s="7"/>
      <c r="B59" s="15" t="s">
        <v>37</v>
      </c>
      <c r="C59" s="15"/>
      <c r="D59" s="15"/>
      <c r="E59" s="15"/>
      <c r="F59" s="20"/>
      <c r="G59" s="25"/>
    </row>
    <row r="60" ht="15.75" customHeight="1">
      <c r="A60" s="7"/>
      <c r="B60" s="15" t="s">
        <v>37</v>
      </c>
      <c r="C60" s="15"/>
      <c r="D60" s="15"/>
      <c r="E60" s="15"/>
      <c r="F60" s="20"/>
      <c r="G60" s="25"/>
    </row>
    <row r="61" ht="15.75" customHeight="1">
      <c r="A61" s="7"/>
      <c r="B61" s="15" t="s">
        <v>37</v>
      </c>
      <c r="C61" s="15"/>
      <c r="D61" s="15"/>
      <c r="E61" s="15"/>
      <c r="F61" s="20"/>
      <c r="G61" s="25"/>
    </row>
    <row r="62" ht="15.75" customHeight="1">
      <c r="A62" s="7"/>
      <c r="B62" s="15" t="s">
        <v>37</v>
      </c>
      <c r="C62" s="15"/>
      <c r="D62" s="15"/>
      <c r="E62" s="15"/>
      <c r="F62" s="20"/>
      <c r="G62" s="25"/>
    </row>
    <row r="63" ht="15.75" customHeight="1">
      <c r="A63" s="7"/>
      <c r="B63" s="15" t="s">
        <v>37</v>
      </c>
      <c r="C63" s="15"/>
      <c r="D63" s="15"/>
      <c r="E63" s="15"/>
      <c r="F63" s="20"/>
      <c r="G63" s="25"/>
    </row>
    <row r="64" ht="15.75" customHeight="1">
      <c r="A64" s="7"/>
      <c r="B64" s="15" t="s">
        <v>37</v>
      </c>
      <c r="C64" s="15"/>
      <c r="D64" s="15"/>
      <c r="E64" s="15"/>
      <c r="F64" s="20"/>
      <c r="G64" s="25"/>
    </row>
    <row r="65" ht="15.75" customHeight="1">
      <c r="A65" s="7"/>
      <c r="B65" s="15" t="s">
        <v>37</v>
      </c>
      <c r="C65" s="15"/>
      <c r="D65" s="15"/>
      <c r="E65" s="15"/>
      <c r="F65" s="20"/>
      <c r="G65" s="25"/>
    </row>
    <row r="66" ht="15.75" customHeight="1">
      <c r="A66" s="7"/>
      <c r="B66" s="15" t="s">
        <v>37</v>
      </c>
      <c r="C66" s="15"/>
      <c r="D66" s="15"/>
      <c r="E66" s="15"/>
      <c r="F66" s="20"/>
      <c r="G66" s="25"/>
    </row>
    <row r="67" ht="15.75" customHeight="1">
      <c r="A67" s="7"/>
      <c r="B67" s="15" t="s">
        <v>37</v>
      </c>
      <c r="C67" s="15"/>
      <c r="D67" s="15"/>
      <c r="E67" s="15"/>
      <c r="F67" s="20"/>
      <c r="G67" s="25"/>
    </row>
    <row r="68" ht="15.75" customHeight="1">
      <c r="A68" s="7"/>
      <c r="B68" s="15" t="s">
        <v>37</v>
      </c>
      <c r="C68" s="15"/>
      <c r="D68" s="15"/>
      <c r="E68" s="15"/>
      <c r="F68" s="20"/>
      <c r="G68" s="25"/>
    </row>
    <row r="69" ht="15.75" customHeight="1">
      <c r="A69" s="7"/>
      <c r="B69" s="15" t="s">
        <v>37</v>
      </c>
      <c r="C69" s="15"/>
      <c r="D69" s="15"/>
      <c r="E69" s="15"/>
      <c r="F69" s="20"/>
      <c r="G69" s="25"/>
    </row>
    <row r="70" ht="15.75" customHeight="1">
      <c r="A70" s="7"/>
      <c r="B70" s="15" t="s">
        <v>37</v>
      </c>
      <c r="C70" s="15"/>
      <c r="D70" s="15"/>
      <c r="E70" s="15"/>
      <c r="F70" s="20"/>
      <c r="G70" s="25"/>
    </row>
    <row r="71" ht="15.75" customHeight="1">
      <c r="A71" s="7"/>
      <c r="B71" s="15" t="s">
        <v>37</v>
      </c>
      <c r="C71" s="15"/>
      <c r="D71" s="15"/>
      <c r="E71" s="15"/>
      <c r="F71" s="20"/>
      <c r="G71" s="25"/>
    </row>
    <row r="72" ht="15.75" customHeight="1">
      <c r="A72" s="7"/>
      <c r="B72" s="15" t="s">
        <v>37</v>
      </c>
      <c r="C72" s="15"/>
      <c r="D72" s="15"/>
      <c r="E72" s="15"/>
      <c r="F72" s="20"/>
      <c r="G72" s="25"/>
    </row>
    <row r="73" ht="15.75" customHeight="1">
      <c r="A73" s="7"/>
      <c r="B73" s="15" t="s">
        <v>37</v>
      </c>
      <c r="C73" s="15"/>
      <c r="D73" s="15"/>
      <c r="E73" s="15"/>
      <c r="F73" s="20"/>
      <c r="G73" s="25"/>
    </row>
    <row r="74" ht="15.75" customHeight="1">
      <c r="A74" s="7"/>
      <c r="B74" s="15" t="s">
        <v>37</v>
      </c>
      <c r="C74" s="15"/>
      <c r="D74" s="15"/>
      <c r="E74" s="15"/>
      <c r="F74" s="20"/>
      <c r="G74" s="25"/>
    </row>
    <row r="75" ht="15.75" customHeight="1">
      <c r="A75" s="7"/>
      <c r="B75" s="15" t="s">
        <v>37</v>
      </c>
      <c r="C75" s="15"/>
      <c r="D75" s="15"/>
      <c r="E75" s="15"/>
      <c r="F75" s="20"/>
      <c r="G75" s="25"/>
    </row>
    <row r="76" ht="15.75" customHeight="1">
      <c r="A76" s="7"/>
      <c r="B76" s="15" t="s">
        <v>37</v>
      </c>
      <c r="C76" s="15"/>
      <c r="D76" s="15"/>
      <c r="E76" s="15"/>
      <c r="F76" s="20"/>
      <c r="G76" s="25"/>
    </row>
    <row r="77" ht="15.75" customHeight="1">
      <c r="A77" s="7"/>
      <c r="B77" s="15" t="s">
        <v>37</v>
      </c>
      <c r="C77" s="15"/>
      <c r="D77" s="15"/>
      <c r="E77" s="15"/>
      <c r="F77" s="20"/>
      <c r="G77" s="25"/>
    </row>
    <row r="78" ht="15.75" customHeight="1">
      <c r="A78" s="7"/>
      <c r="B78" s="15" t="s">
        <v>37</v>
      </c>
      <c r="C78" s="15"/>
      <c r="D78" s="15"/>
      <c r="E78" s="15"/>
      <c r="F78" s="20"/>
      <c r="G78" s="25"/>
    </row>
    <row r="79" ht="15.75" customHeight="1">
      <c r="A79" s="7"/>
      <c r="B79" s="15" t="s">
        <v>37</v>
      </c>
      <c r="C79" s="15"/>
      <c r="D79" s="15"/>
      <c r="E79" s="15"/>
      <c r="F79" s="20"/>
      <c r="G79" s="25"/>
    </row>
    <row r="80" ht="15.75" customHeight="1">
      <c r="A80" s="7"/>
      <c r="B80" s="15" t="s">
        <v>37</v>
      </c>
      <c r="C80" s="15"/>
      <c r="D80" s="15"/>
      <c r="E80" s="15"/>
      <c r="F80" s="20"/>
      <c r="G80" s="25"/>
    </row>
    <row r="81" ht="15.75" customHeight="1">
      <c r="A81" s="7"/>
      <c r="B81" s="15" t="s">
        <v>37</v>
      </c>
      <c r="C81" s="15"/>
      <c r="D81" s="15"/>
      <c r="E81" s="15"/>
      <c r="F81" s="20"/>
      <c r="G81" s="25"/>
    </row>
    <row r="82" ht="15.75" customHeight="1">
      <c r="A82" s="7"/>
      <c r="B82" s="15" t="s">
        <v>37</v>
      </c>
      <c r="C82" s="15"/>
      <c r="D82" s="15"/>
      <c r="E82" s="15"/>
      <c r="F82" s="20"/>
      <c r="G82" s="25"/>
    </row>
    <row r="83" ht="15.75" customHeight="1">
      <c r="A83" s="7"/>
      <c r="B83" s="15" t="s">
        <v>37</v>
      </c>
      <c r="C83" s="15"/>
      <c r="D83" s="15"/>
      <c r="E83" s="15"/>
      <c r="F83" s="20"/>
      <c r="G83" s="25"/>
    </row>
    <row r="84" ht="15.75" customHeight="1">
      <c r="A84" s="7"/>
      <c r="B84" s="15" t="s">
        <v>37</v>
      </c>
      <c r="C84" s="15"/>
      <c r="D84" s="15"/>
      <c r="E84" s="15"/>
      <c r="F84" s="20"/>
      <c r="G84" s="25"/>
    </row>
    <row r="85" ht="15.75" customHeight="1">
      <c r="A85" s="7"/>
      <c r="B85" s="15" t="s">
        <v>37</v>
      </c>
      <c r="C85" s="15"/>
      <c r="D85" s="15"/>
      <c r="E85" s="15"/>
      <c r="F85" s="20"/>
      <c r="G85" s="25"/>
    </row>
    <row r="86" ht="15.75" customHeight="1">
      <c r="A86" s="7"/>
      <c r="B86" s="15" t="s">
        <v>37</v>
      </c>
      <c r="C86" s="15"/>
      <c r="D86" s="15"/>
      <c r="E86" s="15"/>
      <c r="F86" s="20"/>
      <c r="G86" s="25"/>
    </row>
    <row r="87" ht="15.75" customHeight="1">
      <c r="A87" s="7"/>
      <c r="B87" s="15" t="s">
        <v>37</v>
      </c>
      <c r="C87" s="15"/>
      <c r="D87" s="15"/>
      <c r="E87" s="15"/>
      <c r="F87" s="20"/>
      <c r="G87" s="25"/>
    </row>
    <row r="88" ht="15.75" customHeight="1">
      <c r="A88" s="7"/>
      <c r="B88" s="15" t="s">
        <v>37</v>
      </c>
      <c r="C88" s="15"/>
      <c r="D88" s="15"/>
      <c r="E88" s="15"/>
      <c r="F88" s="20"/>
      <c r="G88" s="25"/>
    </row>
    <row r="89" ht="15.75" customHeight="1">
      <c r="A89" s="7"/>
      <c r="B89" s="15" t="s">
        <v>37</v>
      </c>
      <c r="C89" s="15"/>
      <c r="D89" s="15"/>
      <c r="E89" s="15"/>
      <c r="F89" s="20"/>
      <c r="G89" s="25"/>
    </row>
    <row r="90" ht="15.75" customHeight="1">
      <c r="A90" s="7"/>
      <c r="B90" s="15" t="s">
        <v>37</v>
      </c>
      <c r="C90" s="15"/>
      <c r="D90" s="15"/>
      <c r="E90" s="15"/>
      <c r="F90" s="20"/>
      <c r="G90" s="25"/>
    </row>
    <row r="91" ht="15.75" customHeight="1">
      <c r="A91" s="7"/>
      <c r="B91" s="15" t="s">
        <v>37</v>
      </c>
      <c r="C91" s="15"/>
      <c r="D91" s="15"/>
      <c r="E91" s="15"/>
      <c r="F91" s="20"/>
      <c r="G91" s="25"/>
    </row>
    <row r="92" ht="15.75" customHeight="1">
      <c r="A92" s="7"/>
      <c r="B92" s="15" t="s">
        <v>37</v>
      </c>
      <c r="C92" s="15"/>
      <c r="D92" s="15"/>
      <c r="E92" s="15"/>
      <c r="F92" s="20"/>
      <c r="G92" s="25"/>
    </row>
    <row r="93" ht="15.75" customHeight="1">
      <c r="A93" s="7"/>
      <c r="B93" s="15" t="s">
        <v>37</v>
      </c>
      <c r="C93" s="15"/>
      <c r="D93" s="15"/>
      <c r="E93" s="15"/>
      <c r="F93" s="20"/>
      <c r="G93" s="25"/>
    </row>
    <row r="94" ht="15.75" customHeight="1">
      <c r="A94" s="7"/>
      <c r="B94" s="15" t="s">
        <v>37</v>
      </c>
      <c r="C94" s="15"/>
      <c r="D94" s="15"/>
      <c r="E94" s="15"/>
      <c r="F94" s="20"/>
      <c r="G94" s="25"/>
    </row>
    <row r="95" ht="15.75" customHeight="1">
      <c r="A95" s="7"/>
      <c r="B95" s="15" t="s">
        <v>37</v>
      </c>
      <c r="C95" s="15"/>
      <c r="D95" s="15"/>
      <c r="E95" s="15"/>
      <c r="F95" s="20"/>
      <c r="G95" s="25"/>
    </row>
    <row r="96" ht="15.75" customHeight="1">
      <c r="A96" s="7"/>
      <c r="B96" s="15" t="s">
        <v>37</v>
      </c>
      <c r="C96" s="15"/>
      <c r="D96" s="15"/>
      <c r="E96" s="15"/>
      <c r="F96" s="20"/>
      <c r="G96" s="25"/>
    </row>
    <row r="97" ht="15.75" customHeight="1">
      <c r="A97" s="7"/>
      <c r="B97" s="15" t="s">
        <v>37</v>
      </c>
      <c r="C97" s="15"/>
      <c r="D97" s="15"/>
      <c r="E97" s="15"/>
      <c r="F97" s="20"/>
      <c r="G97" s="25"/>
    </row>
    <row r="98" ht="15.75" customHeight="1">
      <c r="A98" s="7"/>
      <c r="B98" s="15" t="s">
        <v>37</v>
      </c>
      <c r="C98" s="15"/>
      <c r="D98" s="15"/>
      <c r="E98" s="15"/>
      <c r="F98" s="20"/>
      <c r="G98" s="25"/>
    </row>
    <row r="99" ht="15.75" customHeight="1">
      <c r="A99" s="7"/>
      <c r="B99" s="15" t="s">
        <v>37</v>
      </c>
      <c r="C99" s="15"/>
      <c r="D99" s="15"/>
      <c r="E99" s="15"/>
      <c r="F99" s="20"/>
      <c r="G99" s="25"/>
    </row>
    <row r="100" ht="15.75" customHeight="1">
      <c r="A100" s="7"/>
      <c r="B100" s="15" t="s">
        <v>37</v>
      </c>
      <c r="C100" s="15"/>
      <c r="D100" s="15"/>
      <c r="E100" s="15"/>
      <c r="F100" s="20"/>
      <c r="G100" s="25"/>
    </row>
    <row r="101" ht="15.75" customHeight="1">
      <c r="A101" s="7"/>
      <c r="B101" s="15" t="s">
        <v>37</v>
      </c>
      <c r="C101" s="15"/>
      <c r="D101" s="15"/>
      <c r="E101" s="15"/>
      <c r="F101" s="20"/>
      <c r="G101" s="25"/>
    </row>
    <row r="102" ht="15.75" customHeight="1">
      <c r="A102" s="7"/>
      <c r="B102" s="15" t="s">
        <v>37</v>
      </c>
      <c r="C102" s="15"/>
      <c r="D102" s="15"/>
      <c r="E102" s="15"/>
      <c r="F102" s="20"/>
      <c r="G102" s="25"/>
    </row>
    <row r="103" ht="15.75" customHeight="1">
      <c r="A103" s="7"/>
      <c r="B103" s="15" t="s">
        <v>37</v>
      </c>
      <c r="C103" s="15"/>
      <c r="D103" s="15"/>
      <c r="E103" s="15"/>
      <c r="F103" s="20"/>
      <c r="G103" s="25"/>
    </row>
    <row r="104" ht="15.75" customHeight="1">
      <c r="A104" s="7"/>
      <c r="B104" s="15" t="s">
        <v>37</v>
      </c>
      <c r="C104" s="15"/>
      <c r="D104" s="15"/>
      <c r="E104" s="15"/>
      <c r="F104" s="20"/>
      <c r="G104" s="25"/>
    </row>
    <row r="105" ht="15.75" customHeight="1">
      <c r="A105" s="7"/>
      <c r="B105" s="15" t="s">
        <v>37</v>
      </c>
      <c r="C105" s="15"/>
      <c r="D105" s="15"/>
      <c r="E105" s="15"/>
      <c r="F105" s="20"/>
      <c r="G105" s="25"/>
    </row>
    <row r="106" ht="15.75" customHeight="1">
      <c r="A106" s="7"/>
      <c r="B106" s="15" t="s">
        <v>37</v>
      </c>
      <c r="C106" s="15"/>
      <c r="D106" s="15"/>
      <c r="E106" s="15"/>
      <c r="F106" s="20"/>
      <c r="G106" s="25"/>
    </row>
    <row r="107" ht="15.75" customHeight="1">
      <c r="A107" s="7"/>
      <c r="B107" s="15" t="s">
        <v>37</v>
      </c>
      <c r="C107" s="15"/>
      <c r="D107" s="15"/>
      <c r="E107" s="15"/>
      <c r="F107" s="20"/>
      <c r="G107" s="25"/>
    </row>
    <row r="108" ht="15.75" customHeight="1">
      <c r="A108" s="7"/>
      <c r="B108" s="15" t="s">
        <v>37</v>
      </c>
      <c r="C108" s="15"/>
      <c r="D108" s="15"/>
      <c r="E108" s="15"/>
      <c r="F108" s="20"/>
      <c r="G108" s="25"/>
    </row>
    <row r="109" ht="15.75" customHeight="1">
      <c r="A109" s="7"/>
      <c r="B109" s="15" t="s">
        <v>37</v>
      </c>
      <c r="C109" s="15"/>
      <c r="D109" s="15"/>
      <c r="E109" s="15"/>
      <c r="F109" s="20"/>
      <c r="G109" s="25"/>
    </row>
    <row r="110" ht="15.75" customHeight="1">
      <c r="A110" s="7"/>
      <c r="B110" s="15" t="s">
        <v>37</v>
      </c>
      <c r="C110" s="15"/>
      <c r="D110" s="15"/>
      <c r="E110" s="15"/>
      <c r="F110" s="20"/>
      <c r="G110" s="25"/>
    </row>
    <row r="111" ht="15.75" customHeight="1">
      <c r="A111" s="7"/>
      <c r="B111" s="15" t="s">
        <v>37</v>
      </c>
      <c r="C111" s="15"/>
      <c r="D111" s="15"/>
      <c r="E111" s="15"/>
      <c r="F111" s="20"/>
      <c r="G111" s="25"/>
    </row>
    <row r="112" ht="15.75" customHeight="1">
      <c r="A112" s="7"/>
      <c r="B112" s="15" t="s">
        <v>37</v>
      </c>
      <c r="C112" s="15"/>
      <c r="D112" s="15"/>
      <c r="E112" s="15"/>
      <c r="F112" s="20"/>
      <c r="G112" s="25"/>
    </row>
    <row r="113" ht="15.75" customHeight="1">
      <c r="A113" s="7"/>
      <c r="B113" s="15" t="s">
        <v>37</v>
      </c>
      <c r="C113" s="15"/>
      <c r="D113" s="15"/>
      <c r="E113" s="15"/>
      <c r="F113" s="20"/>
      <c r="G113" s="25"/>
    </row>
    <row r="114" ht="15.75" customHeight="1">
      <c r="A114" s="7"/>
      <c r="B114" s="15" t="s">
        <v>37</v>
      </c>
      <c r="C114" s="15"/>
      <c r="D114" s="15"/>
      <c r="E114" s="15"/>
      <c r="F114" s="20"/>
      <c r="G114" s="25"/>
    </row>
    <row r="115" ht="15.75" customHeight="1">
      <c r="A115" s="7"/>
      <c r="B115" s="15" t="s">
        <v>37</v>
      </c>
      <c r="C115" s="15"/>
      <c r="D115" s="15"/>
      <c r="E115" s="15"/>
      <c r="F115" s="20"/>
      <c r="G115" s="25"/>
    </row>
    <row r="116" ht="15.75" customHeight="1">
      <c r="A116" s="7"/>
      <c r="B116" s="15" t="s">
        <v>37</v>
      </c>
      <c r="C116" s="15"/>
      <c r="D116" s="15"/>
      <c r="E116" s="15"/>
      <c r="F116" s="20"/>
      <c r="G116" s="25"/>
    </row>
    <row r="117" ht="15.75" customHeight="1">
      <c r="A117" s="7"/>
      <c r="B117" s="15" t="s">
        <v>37</v>
      </c>
      <c r="C117" s="15"/>
      <c r="D117" s="15"/>
      <c r="E117" s="15"/>
      <c r="F117" s="20"/>
      <c r="G117" s="25"/>
    </row>
    <row r="118" ht="15.75" customHeight="1">
      <c r="A118" s="7"/>
      <c r="B118" s="15" t="s">
        <v>37</v>
      </c>
      <c r="C118" s="15"/>
      <c r="D118" s="15"/>
      <c r="E118" s="15"/>
      <c r="F118" s="20"/>
      <c r="G118" s="25"/>
    </row>
    <row r="119" ht="15.75" customHeight="1">
      <c r="A119" s="7"/>
      <c r="B119" s="15" t="s">
        <v>37</v>
      </c>
      <c r="C119" s="15"/>
      <c r="D119" s="15"/>
      <c r="E119" s="15"/>
      <c r="F119" s="20"/>
      <c r="G119" s="25"/>
    </row>
    <row r="120" ht="15.75" customHeight="1">
      <c r="A120" s="7"/>
      <c r="B120" s="15" t="s">
        <v>37</v>
      </c>
      <c r="C120" s="15"/>
      <c r="D120" s="15"/>
      <c r="E120" s="15"/>
      <c r="F120" s="20"/>
      <c r="G120" s="25"/>
    </row>
    <row r="121" ht="15.75" customHeight="1">
      <c r="A121" s="7"/>
      <c r="B121" s="15" t="s">
        <v>37</v>
      </c>
      <c r="C121" s="15"/>
      <c r="D121" s="15"/>
      <c r="E121" s="15"/>
      <c r="F121" s="20"/>
      <c r="G121" s="25"/>
    </row>
    <row r="122" ht="15.75" customHeight="1">
      <c r="A122" s="7"/>
      <c r="B122" s="15" t="s">
        <v>37</v>
      </c>
      <c r="C122" s="15"/>
      <c r="D122" s="15"/>
      <c r="E122" s="15"/>
      <c r="F122" s="20"/>
      <c r="G122" s="25"/>
    </row>
    <row r="123" ht="15.75" customHeight="1">
      <c r="A123" s="7"/>
      <c r="B123" s="15" t="s">
        <v>37</v>
      </c>
      <c r="C123" s="15"/>
      <c r="D123" s="15"/>
      <c r="E123" s="15"/>
      <c r="F123" s="20"/>
      <c r="G123" s="25"/>
    </row>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conditionalFormatting sqref="B4:B123">
    <cfRule type="expression" dxfId="0" priority="1">
      <formula>B4="Thu"</formula>
    </cfRule>
  </conditionalFormatting>
  <conditionalFormatting sqref="B4:B123">
    <cfRule type="expression" dxfId="1" priority="2">
      <formula>B4="Chi"</formula>
    </cfRule>
  </conditionalFormatting>
  <dataValidations>
    <dataValidation type="list" allowBlank="1" sqref="B4:B123">
      <formula1>"Thu,Chi"</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0"/>
    <col customWidth="1" min="3" max="3" width="22.0"/>
    <col customWidth="1" min="4" max="4" width="20.0"/>
    <col customWidth="1" min="5" max="5" width="8.63"/>
    <col customWidth="1" min="6" max="7" width="12.0"/>
    <col customWidth="1" min="8" max="9" width="22.0"/>
  </cols>
  <sheetData>
    <row r="1" ht="30.0" customHeight="1">
      <c r="A1" s="1" t="s">
        <v>63</v>
      </c>
    </row>
    <row r="2">
      <c r="A2" s="3"/>
      <c r="B2" s="3"/>
      <c r="C2" s="3"/>
      <c r="D2" s="3"/>
      <c r="E2" s="3"/>
      <c r="F2" s="3"/>
      <c r="G2" s="3"/>
      <c r="H2" s="3"/>
      <c r="I2" s="3"/>
    </row>
    <row r="3" ht="27.75" customHeight="1">
      <c r="A3" s="5" t="s">
        <v>10</v>
      </c>
      <c r="B3" s="5" t="s">
        <v>14</v>
      </c>
      <c r="C3" s="5" t="s">
        <v>16</v>
      </c>
      <c r="D3" s="5" t="s">
        <v>64</v>
      </c>
      <c r="E3" s="5"/>
      <c r="F3" s="5" t="s">
        <v>10</v>
      </c>
      <c r="G3" s="5" t="s">
        <v>14</v>
      </c>
      <c r="H3" s="5" t="s">
        <v>16</v>
      </c>
      <c r="I3" s="5" t="s">
        <v>65</v>
      </c>
    </row>
    <row r="4">
      <c r="A4" s="26" t="s">
        <v>66</v>
      </c>
      <c r="B4" s="26" t="s">
        <v>67</v>
      </c>
      <c r="C4" s="26" t="s">
        <v>68</v>
      </c>
      <c r="D4" s="29">
        <v>60000.0</v>
      </c>
      <c r="E4" s="26"/>
      <c r="F4" s="26" t="str">
        <f>KT_01!$B$4</f>
        <v>L06</v>
      </c>
      <c r="G4" s="26" t="str">
        <f>KT_01!$A$14</f>
        <v>HS06-001</v>
      </c>
      <c r="H4" s="15" t="str">
        <f>KT_01!$B$14</f>
        <v>Đào Thị Kim Ngân</v>
      </c>
      <c r="I4" s="30">
        <f>KT_01!$K$14</f>
        <v>0</v>
      </c>
    </row>
    <row r="5">
      <c r="A5" s="26" t="s">
        <v>66</v>
      </c>
      <c r="B5" s="26" t="s">
        <v>73</v>
      </c>
      <c r="C5" s="26" t="s">
        <v>74</v>
      </c>
      <c r="D5" s="29">
        <v>60000.0</v>
      </c>
      <c r="E5" s="26"/>
      <c r="F5" s="26" t="str">
        <f>KT_01!$B$4</f>
        <v>L06</v>
      </c>
      <c r="G5" s="26" t="str">
        <f>KT_01!$A$15</f>
        <v>HS06-002</v>
      </c>
      <c r="H5" s="15" t="str">
        <f>KT_01!$B$15</f>
        <v>Đặng Phương Anh</v>
      </c>
      <c r="I5" s="30">
        <f>KT_01!$K$15</f>
        <v>0</v>
      </c>
    </row>
    <row r="6">
      <c r="A6" s="26"/>
      <c r="B6" s="26"/>
      <c r="C6" s="26"/>
      <c r="D6" s="29"/>
      <c r="E6" s="26"/>
      <c r="F6" s="26" t="str">
        <f>KT_01!$B$4</f>
        <v>L06</v>
      </c>
      <c r="G6" s="26" t="str">
        <f>KT_01!$A$16</f>
        <v>HS06-003</v>
      </c>
      <c r="H6" s="15" t="str">
        <f>KT_01!$B$16</f>
        <v>Nguyễn Gia Bảo</v>
      </c>
      <c r="I6" s="30">
        <f>KT_01!$K$16</f>
        <v>0</v>
      </c>
    </row>
    <row r="7">
      <c r="A7" s="26"/>
      <c r="B7" s="26"/>
      <c r="C7" s="26"/>
      <c r="D7" s="29"/>
      <c r="E7" s="26"/>
      <c r="F7" s="26" t="str">
        <f>KT_01!$B$4</f>
        <v>L06</v>
      </c>
      <c r="G7" s="26" t="str">
        <f>KT_01!$A$17</f>
        <v>HS06-004</v>
      </c>
      <c r="H7" s="15" t="str">
        <f>KT_01!$B$17</f>
        <v>Nguyễn Đặng Gia Bảo</v>
      </c>
      <c r="I7" s="30">
        <f>KT_01!$K$17</f>
        <v>0</v>
      </c>
    </row>
    <row r="8">
      <c r="A8" s="26"/>
      <c r="B8" s="26"/>
      <c r="C8" s="26"/>
      <c r="D8" s="29"/>
      <c r="E8" s="26"/>
      <c r="F8" s="26" t="str">
        <f>KT_01!$B$4</f>
        <v>L06</v>
      </c>
      <c r="G8" s="26" t="str">
        <f>KT_01!$A$18</f>
        <v>HS06-005</v>
      </c>
      <c r="H8" s="15" t="str">
        <f>KT_01!$B$18</f>
        <v>Tuệ Lâm</v>
      </c>
      <c r="I8" s="30">
        <f>KT_01!$K$18</f>
        <v>0</v>
      </c>
    </row>
    <row r="9">
      <c r="A9" s="26"/>
      <c r="B9" s="26"/>
      <c r="C9" s="26"/>
      <c r="D9" s="29"/>
      <c r="E9" s="26"/>
      <c r="F9" s="26" t="str">
        <f>KT_01!$B$4</f>
        <v>L06</v>
      </c>
      <c r="G9" s="26" t="str">
        <f>KT_01!$A$19</f>
        <v>HS06-006</v>
      </c>
      <c r="H9" s="15" t="str">
        <f>KT_01!$B$19</f>
        <v>Đặng Khánh Linh</v>
      </c>
      <c r="I9" s="30">
        <f>KT_01!$K$19</f>
        <v>0</v>
      </c>
    </row>
    <row r="10">
      <c r="A10" s="26"/>
      <c r="B10" s="26"/>
      <c r="C10" s="26"/>
      <c r="D10" s="29"/>
      <c r="E10" s="26"/>
      <c r="F10" s="26" t="str">
        <f>KT_01!$B$4</f>
        <v>L06</v>
      </c>
      <c r="G10" s="26" t="str">
        <f t="shared" ref="G10:I10" si="1">#REF!</f>
        <v>#REF!</v>
      </c>
      <c r="H10" s="15" t="str">
        <f t="shared" si="1"/>
        <v>#REF!</v>
      </c>
      <c r="I10" s="30" t="str">
        <f t="shared" si="1"/>
        <v>#REF!</v>
      </c>
    </row>
    <row r="11">
      <c r="A11" s="26"/>
      <c r="B11" s="26"/>
      <c r="C11" s="26"/>
      <c r="D11" s="29"/>
      <c r="E11" s="26"/>
      <c r="F11" s="26" t="str">
        <f>KT_01!$B$4</f>
        <v>L06</v>
      </c>
      <c r="G11" s="26" t="str">
        <f>KT_01!$A$20</f>
        <v>HS06-007</v>
      </c>
      <c r="H11" s="15" t="str">
        <f>KT_01!$B$20</f>
        <v>Nguyễn Ngọc Diệp</v>
      </c>
      <c r="I11" s="30">
        <f>KT_01!$K$20</f>
        <v>0</v>
      </c>
    </row>
    <row r="12">
      <c r="A12" s="26"/>
      <c r="B12" s="26"/>
      <c r="C12" s="26"/>
      <c r="D12" s="29"/>
      <c r="E12" s="26"/>
      <c r="F12" s="26" t="str">
        <f>KT_01!$B$4</f>
        <v>L06</v>
      </c>
      <c r="G12" s="26" t="str">
        <f>KT_01!$A$21</f>
        <v>HS06-008</v>
      </c>
      <c r="H12" s="15" t="str">
        <f>KT_01!$B$21</f>
        <v>Nguyễn Ngọc Cẩm Tú</v>
      </c>
      <c r="I12" s="30">
        <f>KT_01!$K$21</f>
        <v>0</v>
      </c>
    </row>
    <row r="13">
      <c r="A13" s="26"/>
      <c r="B13" s="26"/>
      <c r="C13" s="26"/>
      <c r="D13" s="29"/>
      <c r="E13" s="26"/>
      <c r="F13" s="26" t="str">
        <f>KT_01!$B$4</f>
        <v>L06</v>
      </c>
      <c r="G13" s="26" t="str">
        <f>KT_01!$A$22</f>
        <v>HS06-009</v>
      </c>
      <c r="H13" s="15" t="str">
        <f>KT_01!$B$22</f>
        <v>Đào Thế Hoàng</v>
      </c>
      <c r="I13" s="30">
        <f>KT_01!$K$22</f>
        <v>0</v>
      </c>
    </row>
    <row r="14">
      <c r="A14" s="26"/>
      <c r="B14" s="26"/>
      <c r="C14" s="26"/>
      <c r="D14" s="29"/>
      <c r="E14" s="26"/>
      <c r="F14" s="26" t="str">
        <f>KT_01!$B$4</f>
        <v>L06</v>
      </c>
      <c r="G14" s="26" t="str">
        <f>KT_01!$A$23</f>
        <v>HS06-010</v>
      </c>
      <c r="H14" s="15" t="str">
        <f>KT_01!$B$23</f>
        <v>Đào Nguyễn Bình An</v>
      </c>
      <c r="I14" s="30">
        <f>KT_01!$K$23</f>
        <v>0</v>
      </c>
    </row>
    <row r="15">
      <c r="A15" s="26"/>
      <c r="B15" s="26"/>
      <c r="C15" s="26"/>
      <c r="D15" s="29"/>
      <c r="E15" s="26"/>
      <c r="F15" s="26" t="str">
        <f>KT_01!$B$4</f>
        <v>L06</v>
      </c>
      <c r="G15" s="26" t="str">
        <f>KT_01!$A$24</f>
        <v>HS06-011</v>
      </c>
      <c r="H15" s="15" t="str">
        <f>KT_01!$B$24</f>
        <v>Nguyễn Trà My</v>
      </c>
      <c r="I15" s="30">
        <f>KT_01!$K$24</f>
        <v>0</v>
      </c>
    </row>
    <row r="16">
      <c r="A16" s="26"/>
      <c r="B16" s="26"/>
      <c r="C16" s="26"/>
      <c r="D16" s="29"/>
      <c r="E16" s="26"/>
      <c r="F16" s="26" t="str">
        <f>KT_01!$B$4</f>
        <v>L06</v>
      </c>
      <c r="G16" s="26" t="str">
        <f>KT_01!$A$25</f>
        <v>HS06-012</v>
      </c>
      <c r="H16" s="15" t="str">
        <f>KT_01!$B$25</f>
        <v>Bảo Dũng</v>
      </c>
      <c r="I16" s="30">
        <f>KT_01!$K$25</f>
        <v>0</v>
      </c>
    </row>
    <row r="17">
      <c r="A17" s="26"/>
      <c r="B17" s="26"/>
      <c r="C17" s="26"/>
      <c r="D17" s="29"/>
      <c r="E17" s="26"/>
      <c r="F17" s="26" t="str">
        <f>KT_01!$B$4</f>
        <v>L06</v>
      </c>
      <c r="G17" s="26" t="str">
        <f>KT_01!$A$26</f>
        <v>HS06-013</v>
      </c>
      <c r="H17" s="15" t="str">
        <f>KT_01!$B$26</f>
        <v>Đào Quang Minh</v>
      </c>
      <c r="I17" s="30">
        <f>KT_01!$K$26</f>
        <v>0</v>
      </c>
    </row>
    <row r="18">
      <c r="A18" s="26"/>
      <c r="B18" s="26"/>
      <c r="C18" s="26"/>
      <c r="D18" s="29"/>
      <c r="E18" s="26"/>
      <c r="F18" s="26" t="str">
        <f>KT_01!$B$4</f>
        <v>L06</v>
      </c>
      <c r="G18" s="26" t="str">
        <f>KT_01!$A$27</f>
        <v>HS06-014</v>
      </c>
      <c r="H18" s="15" t="str">
        <f>KT_01!$B$27</f>
        <v>Duy</v>
      </c>
      <c r="I18" s="30">
        <f>KT_01!$K$27</f>
        <v>0</v>
      </c>
    </row>
    <row r="19">
      <c r="A19" s="26"/>
      <c r="B19" s="26"/>
      <c r="C19" s="26"/>
      <c r="D19" s="29"/>
      <c r="E19" s="26"/>
      <c r="F19" s="26" t="str">
        <f>KT_01!$B$4</f>
        <v>L06</v>
      </c>
      <c r="G19" s="26" t="str">
        <f>KT_01!$A$28</f>
        <v>HS06-015</v>
      </c>
      <c r="H19" s="15" t="str">
        <f>KT_01!$B$28</f>
        <v>Phúc</v>
      </c>
      <c r="I19" s="30">
        <f>KT_01!$K$28</f>
        <v>0</v>
      </c>
    </row>
    <row r="20">
      <c r="A20" s="26"/>
      <c r="B20" s="26"/>
      <c r="C20" s="26"/>
      <c r="D20" s="29"/>
      <c r="E20" s="26"/>
      <c r="F20" s="26" t="str">
        <f>KT_01!$B$4</f>
        <v>L06</v>
      </c>
      <c r="G20" s="26" t="str">
        <f>KT_01!$A$29</f>
        <v>HS06-016</v>
      </c>
      <c r="H20" s="15" t="str">
        <f>KT_01!$B$29</f>
        <v>Linh</v>
      </c>
      <c r="I20" s="30">
        <f>KT_01!$K$29</f>
        <v>0</v>
      </c>
    </row>
    <row r="21" ht="15.75" customHeight="1">
      <c r="A21" s="26"/>
      <c r="B21" s="26"/>
      <c r="C21" s="26"/>
      <c r="D21" s="29"/>
      <c r="E21" s="26"/>
      <c r="F21" s="26" t="str">
        <f>KT_01!$B$4</f>
        <v>L06</v>
      </c>
      <c r="G21" s="26" t="str">
        <f>KT_01!$A$30</f>
        <v>HS06-017</v>
      </c>
      <c r="H21" s="15" t="str">
        <f>KT_01!$B$30</f>
        <v>Hân</v>
      </c>
      <c r="I21" s="30">
        <f>KT_01!$K$30</f>
        <v>0</v>
      </c>
    </row>
    <row r="22" ht="15.75" customHeight="1">
      <c r="A22" s="26"/>
      <c r="B22" s="26"/>
      <c r="C22" s="26"/>
      <c r="D22" s="29"/>
      <c r="E22" s="26"/>
      <c r="F22" s="26" t="str">
        <f>KT_01!$B$4</f>
        <v>L06</v>
      </c>
      <c r="G22" s="26" t="str">
        <f>KT_01!$A$31</f>
        <v>HS06-018</v>
      </c>
      <c r="H22" s="15" t="str">
        <f>KT_01!$B$31</f>
        <v>Kiều Anh</v>
      </c>
      <c r="I22" s="30">
        <f>KT_01!$K$31</f>
        <v>0</v>
      </c>
    </row>
    <row r="23" ht="15.75" customHeight="1">
      <c r="A23" s="26"/>
      <c r="B23" s="26"/>
      <c r="C23" s="26"/>
      <c r="D23" s="29"/>
      <c r="E23" s="26"/>
      <c r="F23" s="26" t="str">
        <f>KT_01!$B$4</f>
        <v>L06</v>
      </c>
      <c r="G23" s="26" t="str">
        <f>KT_01!$A$32</f>
        <v/>
      </c>
      <c r="H23" s="15" t="str">
        <f>KT_01!$B$32</f>
        <v/>
      </c>
      <c r="I23" s="30" t="str">
        <f>KT_01!$K$32</f>
        <v/>
      </c>
    </row>
    <row r="24" ht="15.75" customHeight="1">
      <c r="A24" s="26"/>
      <c r="B24" s="26"/>
      <c r="C24" s="26"/>
      <c r="D24" s="29"/>
      <c r="E24" s="26"/>
      <c r="F24" s="26" t="str">
        <f>KT_01!$B$4</f>
        <v>L06</v>
      </c>
      <c r="G24" s="26" t="str">
        <f>KT_01!$A$33</f>
        <v/>
      </c>
      <c r="H24" s="15" t="str">
        <f>KT_01!$B$33</f>
        <v/>
      </c>
      <c r="I24" s="30" t="str">
        <f>KT_01!$K$33</f>
        <v/>
      </c>
    </row>
    <row r="25" ht="15.75" customHeight="1">
      <c r="A25" s="26"/>
      <c r="B25" s="26"/>
      <c r="C25" s="26"/>
      <c r="D25" s="29"/>
      <c r="E25" s="26"/>
      <c r="F25" s="26" t="str">
        <f>KT_01!$B$4</f>
        <v>L06</v>
      </c>
      <c r="G25" s="26" t="str">
        <f>KT_01!$A$34</f>
        <v/>
      </c>
      <c r="H25" s="15" t="str">
        <f>KT_01!$B$34</f>
        <v/>
      </c>
      <c r="I25" s="30" t="str">
        <f>KT_01!$K$34</f>
        <v/>
      </c>
    </row>
    <row r="26" ht="15.75" customHeight="1">
      <c r="A26" s="26"/>
      <c r="B26" s="26"/>
      <c r="C26" s="26"/>
      <c r="D26" s="29"/>
      <c r="E26" s="26"/>
      <c r="F26" s="26" t="str">
        <f>KT_01!$B$4</f>
        <v>L06</v>
      </c>
      <c r="G26" s="26" t="str">
        <f>KT_01!$A$35</f>
        <v/>
      </c>
      <c r="H26" s="15" t="str">
        <f>KT_01!$B$35</f>
        <v/>
      </c>
      <c r="I26" s="30" t="str">
        <f>KT_01!$K$35</f>
        <v/>
      </c>
    </row>
    <row r="27" ht="15.75" customHeight="1">
      <c r="A27" s="26"/>
      <c r="B27" s="26"/>
      <c r="C27" s="26"/>
      <c r="D27" s="29"/>
      <c r="E27" s="26"/>
      <c r="F27" s="26" t="str">
        <f>KT_01!$B$4</f>
        <v>L06</v>
      </c>
      <c r="G27" s="26" t="str">
        <f>KT_01!$A$36</f>
        <v/>
      </c>
      <c r="H27" s="15" t="str">
        <f>KT_01!$B$36</f>
        <v/>
      </c>
      <c r="I27" s="30" t="str">
        <f>KT_01!$K$36</f>
        <v/>
      </c>
    </row>
    <row r="28" ht="15.75" customHeight="1">
      <c r="A28" s="26"/>
      <c r="B28" s="26"/>
      <c r="C28" s="26"/>
      <c r="D28" s="29"/>
      <c r="E28" s="26"/>
      <c r="F28" s="26" t="str">
        <f>KT_01!$B$4</f>
        <v>L06</v>
      </c>
      <c r="G28" s="26" t="str">
        <f>KT_01!$A$37</f>
        <v/>
      </c>
      <c r="H28" s="15" t="str">
        <f>KT_01!$B$37</f>
        <v/>
      </c>
      <c r="I28" s="30" t="str">
        <f>KT_01!$K$37</f>
        <v/>
      </c>
    </row>
    <row r="29" ht="15.75" customHeight="1">
      <c r="A29" s="26"/>
      <c r="B29" s="26"/>
      <c r="C29" s="26"/>
      <c r="D29" s="29"/>
      <c r="E29" s="26"/>
      <c r="F29" s="26" t="str">
        <f>KT_01!$B$4</f>
        <v>L06</v>
      </c>
      <c r="G29" s="26" t="str">
        <f>KT_01!$A$38</f>
        <v/>
      </c>
      <c r="H29" s="15" t="str">
        <f>KT_01!$B$38</f>
        <v/>
      </c>
      <c r="I29" s="30" t="str">
        <f>KT_01!$K$38</f>
        <v/>
      </c>
    </row>
    <row r="30" ht="15.75" customHeight="1">
      <c r="A30" s="26"/>
      <c r="B30" s="26"/>
      <c r="C30" s="26"/>
      <c r="D30" s="29"/>
      <c r="E30" s="26"/>
      <c r="F30" s="26" t="str">
        <f>KT_01!$B$4</f>
        <v>L06</v>
      </c>
      <c r="G30" s="26" t="str">
        <f>KT_01!$A$39</f>
        <v/>
      </c>
      <c r="H30" s="15" t="str">
        <f>KT_01!$B$39</f>
        <v/>
      </c>
      <c r="I30" s="30" t="str">
        <f>KT_01!$K$39</f>
        <v/>
      </c>
    </row>
    <row r="31" ht="15.75" customHeight="1">
      <c r="A31" s="26"/>
      <c r="B31" s="26"/>
      <c r="C31" s="26"/>
      <c r="D31" s="29"/>
      <c r="E31" s="26"/>
      <c r="F31" s="26" t="str">
        <f>KT_01!$B$4</f>
        <v>L06</v>
      </c>
      <c r="G31" s="26" t="str">
        <f>KT_01!$A$40</f>
        <v/>
      </c>
      <c r="H31" s="15" t="str">
        <f>KT_01!$B$40</f>
        <v/>
      </c>
      <c r="I31" s="30" t="str">
        <f>KT_01!$K$40</f>
        <v/>
      </c>
    </row>
    <row r="32" ht="15.75" customHeight="1">
      <c r="A32" s="26"/>
      <c r="B32" s="26"/>
      <c r="C32" s="26"/>
      <c r="D32" s="29"/>
      <c r="E32" s="26"/>
      <c r="F32" s="26" t="str">
        <f>KT_01!$B$4</f>
        <v>L06</v>
      </c>
      <c r="G32" s="26" t="str">
        <f>KT_01!$A$41</f>
        <v/>
      </c>
      <c r="H32" s="15" t="str">
        <f>KT_01!$B$41</f>
        <v/>
      </c>
      <c r="I32" s="30" t="str">
        <f>KT_01!$K$41</f>
        <v/>
      </c>
    </row>
    <row r="33" ht="15.75" customHeight="1">
      <c r="A33" s="26"/>
      <c r="B33" s="26"/>
      <c r="C33" s="26"/>
      <c r="D33" s="29"/>
      <c r="E33" s="26"/>
      <c r="F33" s="26" t="str">
        <f>KT_01!$B$4</f>
        <v>L06</v>
      </c>
      <c r="G33" s="26" t="str">
        <f>KT_01!$A$42</f>
        <v/>
      </c>
      <c r="H33" s="15" t="str">
        <f>KT_01!$B$42</f>
        <v/>
      </c>
      <c r="I33" s="30" t="str">
        <f>KT_01!$K$42</f>
        <v/>
      </c>
    </row>
    <row r="34" ht="15.75" customHeight="1">
      <c r="A34" s="26"/>
      <c r="B34" s="26"/>
      <c r="C34" s="26"/>
      <c r="D34" s="29"/>
      <c r="E34" s="26"/>
      <c r="F34" s="26" t="str">
        <f>KT_02!$B$4</f>
        <v>L07</v>
      </c>
      <c r="G34" s="26" t="str">
        <f>KT_02!$A$14</f>
        <v>HS07-001</v>
      </c>
      <c r="H34" s="15" t="str">
        <f>KT_02!$B$14</f>
        <v>Lê Ngọc Ánh</v>
      </c>
      <c r="I34" s="30">
        <f>KT_02!$K$14</f>
        <v>0</v>
      </c>
    </row>
    <row r="35" ht="15.75" customHeight="1">
      <c r="A35" s="26"/>
      <c r="B35" s="26"/>
      <c r="C35" s="26"/>
      <c r="D35" s="29"/>
      <c r="E35" s="26"/>
      <c r="F35" s="26" t="str">
        <f>KT_02!$B$4</f>
        <v>L07</v>
      </c>
      <c r="G35" s="26" t="str">
        <f>KT_02!$A$15</f>
        <v>HS07-002</v>
      </c>
      <c r="H35" s="15" t="str">
        <f>KT_02!$B$15</f>
        <v>Nguyễn Thị Hồng Hạnh</v>
      </c>
      <c r="I35" s="30">
        <f>KT_02!$K$15</f>
        <v>0</v>
      </c>
    </row>
    <row r="36" ht="15.75" customHeight="1">
      <c r="A36" s="26"/>
      <c r="B36" s="26"/>
      <c r="C36" s="26"/>
      <c r="D36" s="29"/>
      <c r="E36" s="26"/>
      <c r="F36" s="26" t="str">
        <f>KT_02!$B$4</f>
        <v>L07</v>
      </c>
      <c r="G36" s="26" t="str">
        <f>KT_02!$A$16</f>
        <v>HS07-003</v>
      </c>
      <c r="H36" s="15" t="str">
        <f>KT_02!$B$16</f>
        <v>Nguyễn Văn Phúc</v>
      </c>
      <c r="I36" s="30">
        <f>KT_02!$K$16</f>
        <v>0</v>
      </c>
    </row>
    <row r="37" ht="15.75" customHeight="1">
      <c r="A37" s="26"/>
      <c r="B37" s="26"/>
      <c r="C37" s="26"/>
      <c r="D37" s="29"/>
      <c r="E37" s="26"/>
      <c r="F37" s="26" t="str">
        <f>KT_02!$B$4</f>
        <v>L07</v>
      </c>
      <c r="G37" s="26" t="str">
        <f>KT_02!$A$17</f>
        <v>HS07-004</v>
      </c>
      <c r="H37" s="15" t="str">
        <f>KT_02!$B$17</f>
        <v>Đào Thành Lê</v>
      </c>
      <c r="I37" s="30">
        <f>KT_02!$K$17</f>
        <v>0</v>
      </c>
    </row>
    <row r="38" ht="15.75" customHeight="1">
      <c r="A38" s="26"/>
      <c r="B38" s="26"/>
      <c r="C38" s="26"/>
      <c r="D38" s="29"/>
      <c r="E38" s="26"/>
      <c r="F38" s="26" t="str">
        <f>KT_02!$B$4</f>
        <v>L07</v>
      </c>
      <c r="G38" s="26" t="str">
        <f>KT_02!$A$18</f>
        <v>HS07-005</v>
      </c>
      <c r="H38" s="15" t="str">
        <f>KT_02!$B$18</f>
        <v>Nguyễn Thành Công</v>
      </c>
      <c r="I38" s="30">
        <f>KT_02!$K$18</f>
        <v>0</v>
      </c>
    </row>
    <row r="39" ht="15.75" customHeight="1">
      <c r="A39" s="26"/>
      <c r="B39" s="26"/>
      <c r="C39" s="26"/>
      <c r="D39" s="29"/>
      <c r="E39" s="26"/>
      <c r="F39" s="26" t="str">
        <f>KT_02!$B$4</f>
        <v>L07</v>
      </c>
      <c r="G39" s="26" t="str">
        <f>KT_02!$A$19</f>
        <v>HS07-006</v>
      </c>
      <c r="H39" s="15" t="str">
        <f>KT_02!$B$19</f>
        <v>Bùi Bảo Minh Anh</v>
      </c>
      <c r="I39" s="30">
        <f>KT_02!$K$19</f>
        <v>0</v>
      </c>
    </row>
    <row r="40" ht="15.75" customHeight="1">
      <c r="A40" s="26"/>
      <c r="B40" s="26"/>
      <c r="C40" s="26"/>
      <c r="D40" s="29"/>
      <c r="E40" s="26"/>
      <c r="F40" s="26" t="str">
        <f>KT_02!$B$4</f>
        <v>L07</v>
      </c>
      <c r="G40" s="26" t="str">
        <f>KT_02!$A$20</f>
        <v>HS07-007</v>
      </c>
      <c r="H40" s="15" t="str">
        <f>KT_02!$B$20</f>
        <v>Cao Nhật Minh</v>
      </c>
      <c r="I40" s="30">
        <f>KT_02!$K$20</f>
        <v>0</v>
      </c>
    </row>
    <row r="41" ht="15.75" customHeight="1">
      <c r="A41" s="26"/>
      <c r="B41" s="26"/>
      <c r="C41" s="26"/>
      <c r="D41" s="29"/>
      <c r="E41" s="26"/>
      <c r="F41" s="26" t="str">
        <f>KT_02!$B$4</f>
        <v>L07</v>
      </c>
      <c r="G41" s="26" t="str">
        <f>KT_02!$A$21</f>
        <v>HS07-008</v>
      </c>
      <c r="H41" s="15" t="str">
        <f>KT_02!$B$21</f>
        <v>Phạm Mạnh Hùng</v>
      </c>
      <c r="I41" s="30">
        <f>KT_02!$K$21</f>
        <v>0</v>
      </c>
    </row>
    <row r="42" ht="15.75" customHeight="1">
      <c r="A42" s="26"/>
      <c r="B42" s="26"/>
      <c r="C42" s="26"/>
      <c r="D42" s="29"/>
      <c r="E42" s="26"/>
      <c r="F42" s="26" t="str">
        <f>KT_02!$B$4</f>
        <v>L07</v>
      </c>
      <c r="G42" s="26" t="str">
        <f>KT_02!$A$22</f>
        <v>HS07-009</v>
      </c>
      <c r="H42" s="15" t="str">
        <f>KT_02!$B$22</f>
        <v>Hiếu</v>
      </c>
      <c r="I42" s="30">
        <f>KT_02!$K$22</f>
        <v>0</v>
      </c>
    </row>
    <row r="43" ht="15.75" customHeight="1">
      <c r="A43" s="26"/>
      <c r="B43" s="26"/>
      <c r="C43" s="26"/>
      <c r="D43" s="29"/>
      <c r="E43" s="26"/>
      <c r="F43" s="26" t="str">
        <f>KT_02!$B$4</f>
        <v>L07</v>
      </c>
      <c r="G43" s="26" t="str">
        <f>KT_02!$A$23</f>
        <v>HS07-010</v>
      </c>
      <c r="H43" s="15" t="str">
        <f>KT_02!$B$23</f>
        <v>Cẩm Tiên</v>
      </c>
      <c r="I43" s="30">
        <f>KT_02!$K$23</f>
        <v>0</v>
      </c>
    </row>
    <row r="44" ht="15.75" customHeight="1">
      <c r="A44" s="26"/>
      <c r="B44" s="26"/>
      <c r="C44" s="26"/>
      <c r="D44" s="29"/>
      <c r="E44" s="26"/>
      <c r="F44" s="26" t="str">
        <f>KT_02!$B$4</f>
        <v>L07</v>
      </c>
      <c r="G44" s="26" t="str">
        <f>KT_02!$A$24</f>
        <v>HS07-011</v>
      </c>
      <c r="H44" s="15" t="str">
        <f>KT_02!$B$24</f>
        <v>Bảo An</v>
      </c>
      <c r="I44" s="30">
        <f>KT_02!$K$24</f>
        <v>0</v>
      </c>
    </row>
    <row r="45" ht="15.75" customHeight="1">
      <c r="A45" s="26"/>
      <c r="B45" s="26"/>
      <c r="C45" s="26"/>
      <c r="D45" s="29"/>
      <c r="E45" s="26"/>
      <c r="F45" s="26" t="str">
        <f>KT_02!$B$4</f>
        <v>L07</v>
      </c>
      <c r="G45" s="26" t="str">
        <f>KT_02!$A$25</f>
        <v>HS07-012</v>
      </c>
      <c r="H45" s="15" t="str">
        <f>KT_02!$B$25</f>
        <v>Đăng</v>
      </c>
      <c r="I45" s="30">
        <f>KT_02!$K$25</f>
        <v>0</v>
      </c>
    </row>
    <row r="46" ht="15.75" customHeight="1">
      <c r="A46" s="26"/>
      <c r="B46" s="26"/>
      <c r="C46" s="26"/>
      <c r="D46" s="29"/>
      <c r="E46" s="26"/>
      <c r="F46" s="26" t="str">
        <f>KT_02!$B$4</f>
        <v>L07</v>
      </c>
      <c r="G46" s="26" t="str">
        <f>KT_02!$A$26</f>
        <v>HS07-013</v>
      </c>
      <c r="H46" s="15" t="str">
        <f>KT_02!$B$26</f>
        <v>Lan</v>
      </c>
      <c r="I46" s="30">
        <f>KT_02!$K$26</f>
        <v>0</v>
      </c>
    </row>
    <row r="47" ht="15.75" customHeight="1">
      <c r="A47" s="26"/>
      <c r="B47" s="26"/>
      <c r="C47" s="26"/>
      <c r="D47" s="29"/>
      <c r="E47" s="26"/>
      <c r="F47" s="26" t="str">
        <f>KT_02!$B$4</f>
        <v>L07</v>
      </c>
      <c r="G47" s="26" t="str">
        <f>KT_02!$A$27</f>
        <v/>
      </c>
      <c r="H47" s="15" t="str">
        <f>KT_02!$B$27</f>
        <v/>
      </c>
      <c r="I47" s="30" t="str">
        <f>KT_02!$K$27</f>
        <v/>
      </c>
    </row>
    <row r="48" ht="15.75" customHeight="1">
      <c r="A48" s="26"/>
      <c r="B48" s="26"/>
      <c r="C48" s="26"/>
      <c r="D48" s="29"/>
      <c r="E48" s="26"/>
      <c r="F48" s="26" t="str">
        <f>KT_02!$B$4</f>
        <v>L07</v>
      </c>
      <c r="G48" s="26" t="str">
        <f>KT_02!$A$28</f>
        <v/>
      </c>
      <c r="H48" s="15" t="str">
        <f>KT_02!$B$28</f>
        <v/>
      </c>
      <c r="I48" s="30" t="str">
        <f>KT_02!$K$28</f>
        <v/>
      </c>
    </row>
    <row r="49" ht="15.75" customHeight="1">
      <c r="A49" s="26"/>
      <c r="B49" s="26"/>
      <c r="C49" s="26"/>
      <c r="D49" s="29"/>
      <c r="E49" s="26"/>
      <c r="F49" s="26" t="str">
        <f>KT_02!$B$4</f>
        <v>L07</v>
      </c>
      <c r="G49" s="26" t="str">
        <f>KT_02!$A$29</f>
        <v/>
      </c>
      <c r="H49" s="15" t="str">
        <f>KT_02!$B$29</f>
        <v/>
      </c>
      <c r="I49" s="30" t="str">
        <f>KT_02!$K$29</f>
        <v/>
      </c>
    </row>
    <row r="50" ht="15.75" customHeight="1">
      <c r="A50" s="26"/>
      <c r="B50" s="26"/>
      <c r="C50" s="26"/>
      <c r="D50" s="29"/>
      <c r="E50" s="26"/>
      <c r="F50" s="26" t="str">
        <f>KT_02!$B$4</f>
        <v>L07</v>
      </c>
      <c r="G50" s="26" t="str">
        <f>KT_02!$A$30</f>
        <v/>
      </c>
      <c r="H50" s="15" t="str">
        <f>KT_02!$B$30</f>
        <v/>
      </c>
      <c r="I50" s="30" t="str">
        <f>KT_02!$K$30</f>
        <v/>
      </c>
    </row>
    <row r="51" ht="15.75" customHeight="1">
      <c r="A51" s="26"/>
      <c r="B51" s="26"/>
      <c r="C51" s="26"/>
      <c r="D51" s="29"/>
      <c r="E51" s="26"/>
      <c r="F51" s="26" t="str">
        <f>KT_02!$B$4</f>
        <v>L07</v>
      </c>
      <c r="G51" s="26" t="str">
        <f>KT_02!$A$31</f>
        <v/>
      </c>
      <c r="H51" s="15" t="str">
        <f>KT_02!$B$31</f>
        <v/>
      </c>
      <c r="I51" s="30" t="str">
        <f>KT_02!$K$31</f>
        <v/>
      </c>
    </row>
    <row r="52" ht="15.75" customHeight="1">
      <c r="A52" s="26"/>
      <c r="B52" s="26"/>
      <c r="C52" s="26"/>
      <c r="D52" s="29"/>
      <c r="E52" s="26"/>
      <c r="F52" s="26" t="str">
        <f>KT_02!$B$4</f>
        <v>L07</v>
      </c>
      <c r="G52" s="26" t="str">
        <f>KT_02!$A$32</f>
        <v/>
      </c>
      <c r="H52" s="15" t="str">
        <f>KT_02!$B$32</f>
        <v/>
      </c>
      <c r="I52" s="30" t="str">
        <f>KT_02!$K$32</f>
        <v/>
      </c>
    </row>
    <row r="53" ht="15.75" customHeight="1">
      <c r="A53" s="26"/>
      <c r="B53" s="26"/>
      <c r="C53" s="26"/>
      <c r="D53" s="29"/>
      <c r="E53" s="26"/>
      <c r="F53" s="26" t="str">
        <f>KT_02!$B$4</f>
        <v>L07</v>
      </c>
      <c r="G53" s="26" t="str">
        <f>KT_02!$A$33</f>
        <v/>
      </c>
      <c r="H53" s="15" t="str">
        <f>KT_02!$B$33</f>
        <v/>
      </c>
      <c r="I53" s="30" t="str">
        <f>KT_02!$K$33</f>
        <v/>
      </c>
    </row>
    <row r="54" ht="15.75" customHeight="1">
      <c r="A54" s="26"/>
      <c r="B54" s="26"/>
      <c r="C54" s="26"/>
      <c r="D54" s="29"/>
      <c r="E54" s="26"/>
      <c r="F54" s="26" t="str">
        <f>KT_02!$B$4</f>
        <v>L07</v>
      </c>
      <c r="G54" s="26" t="str">
        <f>KT_02!$A$34</f>
        <v/>
      </c>
      <c r="H54" s="15" t="str">
        <f>KT_02!$B$34</f>
        <v/>
      </c>
      <c r="I54" s="30" t="str">
        <f>KT_02!$K$34</f>
        <v/>
      </c>
    </row>
    <row r="55" ht="15.75" customHeight="1">
      <c r="A55" s="26"/>
      <c r="B55" s="26"/>
      <c r="C55" s="26"/>
      <c r="D55" s="29"/>
      <c r="E55" s="26"/>
      <c r="F55" s="26" t="str">
        <f>KT_02!$B$4</f>
        <v>L07</v>
      </c>
      <c r="G55" s="26" t="str">
        <f>KT_02!$A$35</f>
        <v/>
      </c>
      <c r="H55" s="15" t="str">
        <f>KT_02!$B$35</f>
        <v/>
      </c>
      <c r="I55" s="30" t="str">
        <f>KT_02!$K$35</f>
        <v/>
      </c>
    </row>
    <row r="56" ht="15.75" customHeight="1">
      <c r="A56" s="26"/>
      <c r="B56" s="26"/>
      <c r="C56" s="26"/>
      <c r="D56" s="29"/>
      <c r="E56" s="26"/>
      <c r="F56" s="26" t="str">
        <f>KT_02!$B$4</f>
        <v>L07</v>
      </c>
      <c r="G56" s="26" t="str">
        <f>KT_02!$A$36</f>
        <v/>
      </c>
      <c r="H56" s="15" t="str">
        <f>KT_02!$B$36</f>
        <v/>
      </c>
      <c r="I56" s="30" t="str">
        <f>KT_02!$K$36</f>
        <v/>
      </c>
    </row>
    <row r="57" ht="15.75" customHeight="1">
      <c r="A57" s="26"/>
      <c r="B57" s="26"/>
      <c r="C57" s="26"/>
      <c r="D57" s="29"/>
      <c r="E57" s="26"/>
      <c r="F57" s="26" t="str">
        <f>KT_02!$B$4</f>
        <v>L07</v>
      </c>
      <c r="G57" s="26" t="str">
        <f>KT_02!$A$37</f>
        <v/>
      </c>
      <c r="H57" s="15" t="str">
        <f>KT_02!$B$37</f>
        <v/>
      </c>
      <c r="I57" s="30" t="str">
        <f>KT_02!$K$37</f>
        <v/>
      </c>
    </row>
    <row r="58" ht="15.75" customHeight="1">
      <c r="A58" s="26"/>
      <c r="B58" s="26"/>
      <c r="C58" s="26"/>
      <c r="D58" s="29"/>
      <c r="E58" s="26"/>
      <c r="F58" s="26" t="str">
        <f>KT_02!$B$4</f>
        <v>L07</v>
      </c>
      <c r="G58" s="26" t="str">
        <f>KT_02!$A$38</f>
        <v/>
      </c>
      <c r="H58" s="15" t="str">
        <f>KT_02!$B$38</f>
        <v/>
      </c>
      <c r="I58" s="30" t="str">
        <f>KT_02!$K$38</f>
        <v/>
      </c>
    </row>
    <row r="59" ht="15.75" customHeight="1">
      <c r="A59" s="26"/>
      <c r="B59" s="26"/>
      <c r="C59" s="26"/>
      <c r="D59" s="29"/>
      <c r="E59" s="26"/>
      <c r="F59" s="26" t="str">
        <f>KT_02!$B$4</f>
        <v>L07</v>
      </c>
      <c r="G59" s="26" t="str">
        <f>KT_02!$A$39</f>
        <v/>
      </c>
      <c r="H59" s="15" t="str">
        <f>KT_02!$B$39</f>
        <v/>
      </c>
      <c r="I59" s="30" t="str">
        <f>KT_02!$K$39</f>
        <v/>
      </c>
    </row>
    <row r="60" ht="15.75" customHeight="1">
      <c r="A60" s="26"/>
      <c r="B60" s="26"/>
      <c r="C60" s="26"/>
      <c r="D60" s="29"/>
      <c r="E60" s="26"/>
      <c r="F60" s="26" t="str">
        <f>KT_02!$B$4</f>
        <v>L07</v>
      </c>
      <c r="G60" s="26" t="str">
        <f>KT_02!$A$40</f>
        <v/>
      </c>
      <c r="H60" s="15" t="str">
        <f>KT_02!$B$40</f>
        <v/>
      </c>
      <c r="I60" s="30" t="str">
        <f>KT_02!$K$40</f>
        <v/>
      </c>
    </row>
    <row r="61" ht="15.75" customHeight="1">
      <c r="A61" s="26"/>
      <c r="B61" s="26"/>
      <c r="C61" s="26"/>
      <c r="D61" s="29"/>
      <c r="E61" s="26"/>
      <c r="F61" s="26" t="str">
        <f>KT_02!$B$4</f>
        <v>L07</v>
      </c>
      <c r="G61" s="26" t="str">
        <f>KT_02!$A$41</f>
        <v/>
      </c>
      <c r="H61" s="15" t="str">
        <f>KT_02!$B$41</f>
        <v/>
      </c>
      <c r="I61" s="30" t="str">
        <f>KT_02!$K$41</f>
        <v/>
      </c>
    </row>
    <row r="62" ht="15.75" customHeight="1">
      <c r="A62" s="26"/>
      <c r="B62" s="26"/>
      <c r="C62" s="26"/>
      <c r="D62" s="29"/>
      <c r="E62" s="26"/>
      <c r="F62" s="26" t="str">
        <f>KT_02!$B$4</f>
        <v>L07</v>
      </c>
      <c r="G62" s="26" t="str">
        <f>KT_02!$A$42</f>
        <v/>
      </c>
      <c r="H62" s="15" t="str">
        <f>KT_02!$B$42</f>
        <v/>
      </c>
      <c r="I62" s="30" t="str">
        <f>KT_02!$K$42</f>
        <v/>
      </c>
    </row>
    <row r="63" ht="15.75" customHeight="1">
      <c r="A63" s="26"/>
      <c r="B63" s="26"/>
      <c r="C63" s="26"/>
      <c r="D63" s="29"/>
      <c r="E63" s="26"/>
      <c r="F63" s="26" t="str">
        <f>KT_02!$B$4</f>
        <v>L07</v>
      </c>
      <c r="G63" s="26" t="str">
        <f>KT_02!$A$43</f>
        <v/>
      </c>
      <c r="H63" s="15" t="str">
        <f>KT_02!$B$43</f>
        <v/>
      </c>
      <c r="I63" s="30" t="str">
        <f>KT_02!$K$43</f>
        <v/>
      </c>
    </row>
    <row r="64" ht="15.75" customHeight="1">
      <c r="A64" s="26"/>
      <c r="B64" s="26"/>
      <c r="C64" s="26"/>
      <c r="D64" s="29"/>
      <c r="E64" s="26"/>
      <c r="F64" s="26" t="str">
        <f>KT_03!$B$4</f>
        <v>L08</v>
      </c>
      <c r="G64" s="26" t="str">
        <f>KT_03!$A$14</f>
        <v/>
      </c>
      <c r="H64" s="15" t="str">
        <f>KT_03!$B$14</f>
        <v/>
      </c>
      <c r="I64" s="30" t="str">
        <f>KT_03!$K$14</f>
        <v/>
      </c>
    </row>
    <row r="65" ht="15.75" customHeight="1">
      <c r="A65" s="26"/>
      <c r="B65" s="26"/>
      <c r="C65" s="26"/>
      <c r="D65" s="29"/>
      <c r="E65" s="26"/>
      <c r="F65" s="26" t="str">
        <f>KT_03!$B$4</f>
        <v>L08</v>
      </c>
      <c r="G65" s="26" t="str">
        <f>KT_03!$A$15</f>
        <v>HS08-001</v>
      </c>
      <c r="H65" s="15" t="str">
        <f>KT_03!$B$15</f>
        <v>Minh Thư</v>
      </c>
      <c r="I65" s="30">
        <f>KT_03!$K$15</f>
        <v>0</v>
      </c>
    </row>
    <row r="66" ht="15.75" customHeight="1">
      <c r="A66" s="26"/>
      <c r="B66" s="26"/>
      <c r="C66" s="26"/>
      <c r="D66" s="29"/>
      <c r="E66" s="26"/>
      <c r="F66" s="26" t="str">
        <f>KT_03!$B$4</f>
        <v>L08</v>
      </c>
      <c r="G66" s="26" t="str">
        <f>KT_03!$A$16</f>
        <v>HS08-002</v>
      </c>
      <c r="H66" s="15" t="str">
        <f>KT_03!$B$16</f>
        <v>Nguyễn Đình Phát</v>
      </c>
      <c r="I66" s="30">
        <f>KT_03!$K$16</f>
        <v>0</v>
      </c>
    </row>
    <row r="67" ht="15.75" customHeight="1">
      <c r="A67" s="26"/>
      <c r="B67" s="26"/>
      <c r="C67" s="26"/>
      <c r="D67" s="29"/>
      <c r="E67" s="26"/>
      <c r="F67" s="26" t="str">
        <f>KT_03!$B$4</f>
        <v>L08</v>
      </c>
      <c r="G67" s="26" t="str">
        <f>KT_03!$A$17</f>
        <v>HS08-003</v>
      </c>
      <c r="H67" s="15" t="str">
        <f>KT_03!$B$17</f>
        <v>Đỗ Thị Mai Ngọc</v>
      </c>
      <c r="I67" s="30">
        <f>KT_03!$K$17</f>
        <v>0</v>
      </c>
    </row>
    <row r="68" ht="15.75" customHeight="1">
      <c r="A68" s="26"/>
      <c r="B68" s="26"/>
      <c r="C68" s="26"/>
      <c r="D68" s="29"/>
      <c r="E68" s="26"/>
      <c r="F68" s="26" t="str">
        <f>KT_03!$B$4</f>
        <v>L08</v>
      </c>
      <c r="G68" s="26" t="str">
        <f>KT_03!$A$18</f>
        <v>HS08-004</v>
      </c>
      <c r="H68" s="15" t="str">
        <f>KT_03!$B$18</f>
        <v>Bùi Hiền Nhi</v>
      </c>
      <c r="I68" s="30">
        <f>KT_03!$K$18</f>
        <v>0</v>
      </c>
    </row>
    <row r="69" ht="15.75" customHeight="1">
      <c r="A69" s="26"/>
      <c r="B69" s="26"/>
      <c r="C69" s="26"/>
      <c r="D69" s="29"/>
      <c r="E69" s="26"/>
      <c r="F69" s="26" t="str">
        <f>KT_03!$B$4</f>
        <v>L08</v>
      </c>
      <c r="G69" s="26" t="str">
        <f>KT_03!$A$19</f>
        <v>HS08-005</v>
      </c>
      <c r="H69" s="15" t="str">
        <f>KT_03!$B$19</f>
        <v>Nguyễn Đặng Gia Hân</v>
      </c>
      <c r="I69" s="30">
        <f>KT_03!$K$19</f>
        <v>0</v>
      </c>
    </row>
    <row r="70" ht="15.75" customHeight="1">
      <c r="A70" s="26"/>
      <c r="B70" s="26"/>
      <c r="C70" s="26"/>
      <c r="D70" s="29"/>
      <c r="E70" s="26"/>
      <c r="F70" s="26" t="str">
        <f>KT_03!$B$4</f>
        <v>L08</v>
      </c>
      <c r="G70" s="26" t="str">
        <f>KT_03!$A$20</f>
        <v>HS08-006</v>
      </c>
      <c r="H70" s="15" t="str">
        <f>KT_03!$B$20</f>
        <v>Đào Ngọc Khánh</v>
      </c>
      <c r="I70" s="30">
        <f>KT_03!$K$20</f>
        <v>0</v>
      </c>
    </row>
    <row r="71" ht="15.75" customHeight="1">
      <c r="A71" s="26"/>
      <c r="B71" s="26"/>
      <c r="C71" s="26"/>
      <c r="D71" s="29"/>
      <c r="E71" s="26"/>
      <c r="F71" s="26" t="str">
        <f>KT_03!$B$4</f>
        <v>L08</v>
      </c>
      <c r="G71" s="26" t="str">
        <f>KT_03!$A$21</f>
        <v>HS08-007</v>
      </c>
      <c r="H71" s="15" t="str">
        <f>KT_03!$B$21</f>
        <v>Nhân</v>
      </c>
      <c r="I71" s="30">
        <f>KT_03!$K$21</f>
        <v>0</v>
      </c>
    </row>
    <row r="72" ht="15.75" customHeight="1">
      <c r="A72" s="26"/>
      <c r="B72" s="26"/>
      <c r="C72" s="26"/>
      <c r="D72" s="29"/>
      <c r="E72" s="26"/>
      <c r="F72" s="26" t="str">
        <f>KT_03!$B$4</f>
        <v>L08</v>
      </c>
      <c r="G72" s="26" t="str">
        <f>KT_03!$A$22</f>
        <v/>
      </c>
      <c r="H72" s="15" t="str">
        <f>KT_03!$B$22</f>
        <v/>
      </c>
      <c r="I72" s="30" t="str">
        <f>KT_03!$K$22</f>
        <v/>
      </c>
    </row>
    <row r="73" ht="15.75" customHeight="1">
      <c r="A73" s="26"/>
      <c r="B73" s="26"/>
      <c r="C73" s="26"/>
      <c r="D73" s="29"/>
      <c r="E73" s="26"/>
      <c r="F73" s="26" t="str">
        <f>KT_03!$B$4</f>
        <v>L08</v>
      </c>
      <c r="G73" s="26" t="str">
        <f>KT_03!$A$23</f>
        <v/>
      </c>
      <c r="H73" s="15" t="str">
        <f>KT_03!$B$23</f>
        <v/>
      </c>
      <c r="I73" s="30" t="str">
        <f>KT_03!$K$23</f>
        <v/>
      </c>
    </row>
    <row r="74" ht="15.75" customHeight="1">
      <c r="A74" s="26"/>
      <c r="B74" s="26"/>
      <c r="C74" s="26"/>
      <c r="D74" s="29"/>
      <c r="E74" s="26"/>
      <c r="F74" s="26" t="str">
        <f>KT_03!$B$4</f>
        <v>L08</v>
      </c>
      <c r="G74" s="26" t="str">
        <f>KT_03!$A$24</f>
        <v/>
      </c>
      <c r="H74" s="15" t="str">
        <f>KT_03!$B$24</f>
        <v/>
      </c>
      <c r="I74" s="30" t="str">
        <f>KT_03!$K$24</f>
        <v/>
      </c>
    </row>
    <row r="75" ht="15.75" customHeight="1">
      <c r="A75" s="26"/>
      <c r="B75" s="26"/>
      <c r="C75" s="26"/>
      <c r="D75" s="29"/>
      <c r="E75" s="26"/>
      <c r="F75" s="26" t="str">
        <f>KT_03!$B$4</f>
        <v>L08</v>
      </c>
      <c r="G75" s="26" t="str">
        <f>KT_03!$A$25</f>
        <v/>
      </c>
      <c r="H75" s="15" t="str">
        <f>KT_03!$B$25</f>
        <v/>
      </c>
      <c r="I75" s="30" t="str">
        <f>KT_03!$K$25</f>
        <v/>
      </c>
    </row>
    <row r="76" ht="15.75" customHeight="1">
      <c r="A76" s="26"/>
      <c r="B76" s="26"/>
      <c r="C76" s="26"/>
      <c r="D76" s="29"/>
      <c r="E76" s="26"/>
      <c r="F76" s="26" t="str">
        <f>KT_03!$B$4</f>
        <v>L08</v>
      </c>
      <c r="G76" s="26" t="str">
        <f>KT_03!$A$26</f>
        <v/>
      </c>
      <c r="H76" s="15" t="str">
        <f>KT_03!$B$26</f>
        <v/>
      </c>
      <c r="I76" s="30" t="str">
        <f>KT_03!$K$26</f>
        <v/>
      </c>
    </row>
    <row r="77" ht="15.75" customHeight="1">
      <c r="A77" s="26"/>
      <c r="B77" s="26"/>
      <c r="C77" s="26"/>
      <c r="D77" s="29"/>
      <c r="E77" s="26"/>
      <c r="F77" s="26" t="str">
        <f>KT_03!$B$4</f>
        <v>L08</v>
      </c>
      <c r="G77" s="26" t="str">
        <f>KT_03!$A$27</f>
        <v/>
      </c>
      <c r="H77" s="15" t="str">
        <f>KT_03!$B$27</f>
        <v/>
      </c>
      <c r="I77" s="30" t="str">
        <f>KT_03!$K$27</f>
        <v/>
      </c>
    </row>
    <row r="78" ht="15.75" customHeight="1">
      <c r="A78" s="26"/>
      <c r="B78" s="26"/>
      <c r="C78" s="26"/>
      <c r="D78" s="29"/>
      <c r="E78" s="26"/>
      <c r="F78" s="26" t="str">
        <f>KT_03!$B$4</f>
        <v>L08</v>
      </c>
      <c r="G78" s="26" t="str">
        <f>KT_03!$A$28</f>
        <v/>
      </c>
      <c r="H78" s="15" t="str">
        <f>KT_03!$B$28</f>
        <v/>
      </c>
      <c r="I78" s="30" t="str">
        <f>KT_03!$K$28</f>
        <v/>
      </c>
    </row>
    <row r="79" ht="15.75" customHeight="1">
      <c r="A79" s="26"/>
      <c r="B79" s="26"/>
      <c r="C79" s="26"/>
      <c r="D79" s="29"/>
      <c r="E79" s="26"/>
      <c r="F79" s="26" t="str">
        <f>KT_03!$B$4</f>
        <v>L08</v>
      </c>
      <c r="G79" s="26" t="str">
        <f>KT_03!$A$29</f>
        <v/>
      </c>
      <c r="H79" s="15" t="str">
        <f>KT_03!$B$29</f>
        <v/>
      </c>
      <c r="I79" s="30" t="str">
        <f>KT_03!$K$29</f>
        <v/>
      </c>
    </row>
    <row r="80" ht="15.75" customHeight="1">
      <c r="A80" s="26"/>
      <c r="B80" s="26"/>
      <c r="C80" s="26"/>
      <c r="D80" s="29"/>
      <c r="E80" s="26"/>
      <c r="F80" s="26" t="str">
        <f>KT_03!$B$4</f>
        <v>L08</v>
      </c>
      <c r="G80" s="26" t="str">
        <f>KT_03!$A$30</f>
        <v/>
      </c>
      <c r="H80" s="15" t="str">
        <f>KT_03!$B$30</f>
        <v/>
      </c>
      <c r="I80" s="30" t="str">
        <f>KT_03!$K$30</f>
        <v/>
      </c>
    </row>
    <row r="81" ht="15.75" customHeight="1">
      <c r="A81" s="26"/>
      <c r="B81" s="26"/>
      <c r="C81" s="26"/>
      <c r="D81" s="29"/>
      <c r="E81" s="26"/>
      <c r="F81" s="26" t="str">
        <f>KT_03!$B$4</f>
        <v>L08</v>
      </c>
      <c r="G81" s="26" t="str">
        <f>KT_03!$A$31</f>
        <v/>
      </c>
      <c r="H81" s="15" t="str">
        <f>KT_03!$B$31</f>
        <v/>
      </c>
      <c r="I81" s="30" t="str">
        <f>KT_03!$K$31</f>
        <v/>
      </c>
    </row>
    <row r="82" ht="15.75" customHeight="1">
      <c r="A82" s="26"/>
      <c r="B82" s="26"/>
      <c r="C82" s="26"/>
      <c r="D82" s="29"/>
      <c r="E82" s="26"/>
      <c r="F82" s="26" t="str">
        <f>KT_03!$B$4</f>
        <v>L08</v>
      </c>
      <c r="G82" s="26" t="str">
        <f>KT_03!$A$32</f>
        <v/>
      </c>
      <c r="H82" s="15" t="str">
        <f>KT_03!$B$32</f>
        <v/>
      </c>
      <c r="I82" s="30" t="str">
        <f>KT_03!$K$32</f>
        <v/>
      </c>
    </row>
    <row r="83" ht="15.75" customHeight="1">
      <c r="A83" s="26"/>
      <c r="B83" s="26"/>
      <c r="C83" s="26"/>
      <c r="D83" s="29"/>
      <c r="E83" s="26"/>
      <c r="F83" s="26" t="str">
        <f>KT_03!$B$4</f>
        <v>L08</v>
      </c>
      <c r="G83" s="26" t="str">
        <f>KT_03!$A$33</f>
        <v/>
      </c>
      <c r="H83" s="15" t="str">
        <f>KT_03!$B$33</f>
        <v/>
      </c>
      <c r="I83" s="30" t="str">
        <f>KT_03!$K$33</f>
        <v/>
      </c>
    </row>
    <row r="84" ht="15.75" customHeight="1">
      <c r="A84" s="26"/>
      <c r="B84" s="26"/>
      <c r="C84" s="26"/>
      <c r="D84" s="29"/>
      <c r="E84" s="26"/>
      <c r="F84" s="26" t="str">
        <f>KT_03!$B$4</f>
        <v>L08</v>
      </c>
      <c r="G84" s="26" t="str">
        <f>KT_03!$A$34</f>
        <v/>
      </c>
      <c r="H84" s="15" t="str">
        <f>KT_03!$B$34</f>
        <v/>
      </c>
      <c r="I84" s="30" t="str">
        <f>KT_03!$K$34</f>
        <v/>
      </c>
    </row>
    <row r="85" ht="15.75" customHeight="1">
      <c r="A85" s="26"/>
      <c r="B85" s="26"/>
      <c r="C85" s="26"/>
      <c r="D85" s="29"/>
      <c r="E85" s="26"/>
      <c r="F85" s="26" t="str">
        <f>KT_03!$B$4</f>
        <v>L08</v>
      </c>
      <c r="G85" s="26" t="str">
        <f>KT_03!$A$35</f>
        <v/>
      </c>
      <c r="H85" s="15" t="str">
        <f>KT_03!$B$35</f>
        <v/>
      </c>
      <c r="I85" s="30" t="str">
        <f>KT_03!$K$35</f>
        <v/>
      </c>
    </row>
    <row r="86" ht="15.75" customHeight="1">
      <c r="A86" s="26"/>
      <c r="B86" s="26"/>
      <c r="C86" s="26"/>
      <c r="D86" s="29"/>
      <c r="E86" s="26"/>
      <c r="F86" s="26" t="str">
        <f>KT_03!$B$4</f>
        <v>L08</v>
      </c>
      <c r="G86" s="26" t="str">
        <f>KT_03!$A$36</f>
        <v/>
      </c>
      <c r="H86" s="15" t="str">
        <f>KT_03!$B$36</f>
        <v/>
      </c>
      <c r="I86" s="30" t="str">
        <f>KT_03!$K$36</f>
        <v/>
      </c>
    </row>
    <row r="87" ht="15.75" customHeight="1">
      <c r="A87" s="26"/>
      <c r="B87" s="26"/>
      <c r="C87" s="26"/>
      <c r="D87" s="29"/>
      <c r="E87" s="26"/>
      <c r="F87" s="26" t="str">
        <f>KT_03!$B$4</f>
        <v>L08</v>
      </c>
      <c r="G87" s="26" t="str">
        <f>KT_03!$A$37</f>
        <v/>
      </c>
      <c r="H87" s="15" t="str">
        <f>KT_03!$B$37</f>
        <v/>
      </c>
      <c r="I87" s="30" t="str">
        <f>KT_03!$K$37</f>
        <v/>
      </c>
    </row>
    <row r="88" ht="15.75" customHeight="1">
      <c r="A88" s="26"/>
      <c r="B88" s="26"/>
      <c r="C88" s="26"/>
      <c r="D88" s="29"/>
      <c r="E88" s="26"/>
      <c r="F88" s="26" t="str">
        <f>KT_03!$B$4</f>
        <v>L08</v>
      </c>
      <c r="G88" s="26" t="str">
        <f>KT_03!$A$38</f>
        <v/>
      </c>
      <c r="H88" s="15" t="str">
        <f>KT_03!$B$38</f>
        <v/>
      </c>
      <c r="I88" s="30" t="str">
        <f>KT_03!$K$38</f>
        <v/>
      </c>
    </row>
    <row r="89" ht="15.75" customHeight="1">
      <c r="A89" s="26"/>
      <c r="B89" s="26"/>
      <c r="C89" s="26"/>
      <c r="D89" s="29"/>
      <c r="E89" s="26"/>
      <c r="F89" s="26" t="str">
        <f>KT_03!$B$4</f>
        <v>L08</v>
      </c>
      <c r="G89" s="26" t="str">
        <f>KT_03!$A$39</f>
        <v/>
      </c>
      <c r="H89" s="15" t="str">
        <f>KT_03!$B$39</f>
        <v/>
      </c>
      <c r="I89" s="30" t="str">
        <f>KT_03!$K$39</f>
        <v/>
      </c>
    </row>
    <row r="90" ht="15.75" customHeight="1">
      <c r="A90" s="26"/>
      <c r="B90" s="26"/>
      <c r="C90" s="26"/>
      <c r="D90" s="29"/>
      <c r="E90" s="26"/>
      <c r="F90" s="26" t="str">
        <f>KT_03!$B$4</f>
        <v>L08</v>
      </c>
      <c r="G90" s="26" t="str">
        <f>KT_03!$A$40</f>
        <v/>
      </c>
      <c r="H90" s="15" t="str">
        <f>KT_03!$B$40</f>
        <v/>
      </c>
      <c r="I90" s="30" t="str">
        <f>KT_03!$K$40</f>
        <v/>
      </c>
    </row>
    <row r="91" ht="15.75" customHeight="1">
      <c r="A91" s="26"/>
      <c r="B91" s="26"/>
      <c r="C91" s="26"/>
      <c r="D91" s="29"/>
      <c r="E91" s="26"/>
      <c r="F91" s="26" t="str">
        <f>KT_03!$B$4</f>
        <v>L08</v>
      </c>
      <c r="G91" s="26" t="str">
        <f>KT_03!$A$41</f>
        <v/>
      </c>
      <c r="H91" s="15" t="str">
        <f>KT_03!$B$41</f>
        <v/>
      </c>
      <c r="I91" s="30" t="str">
        <f>KT_03!$K$41</f>
        <v/>
      </c>
    </row>
    <row r="92" ht="15.75" customHeight="1">
      <c r="A92" s="26"/>
      <c r="B92" s="26"/>
      <c r="C92" s="26"/>
      <c r="D92" s="29"/>
      <c r="E92" s="26"/>
      <c r="F92" s="26" t="str">
        <f>KT_03!$B$4</f>
        <v>L08</v>
      </c>
      <c r="G92" s="26" t="str">
        <f>KT_03!$A$42</f>
        <v/>
      </c>
      <c r="H92" s="15" t="str">
        <f>KT_03!$B$42</f>
        <v/>
      </c>
      <c r="I92" s="30" t="str">
        <f>KT_03!$K$42</f>
        <v/>
      </c>
    </row>
    <row r="93" ht="15.75" customHeight="1">
      <c r="A93" s="26"/>
      <c r="B93" s="26"/>
      <c r="C93" s="26"/>
      <c r="D93" s="29"/>
      <c r="E93" s="26"/>
      <c r="F93" s="26" t="str">
        <f>KT_03!$B$4</f>
        <v>L08</v>
      </c>
      <c r="G93" s="26" t="str">
        <f>KT_03!$A$43</f>
        <v/>
      </c>
      <c r="H93" s="15" t="str">
        <f>KT_03!$B$43</f>
        <v/>
      </c>
      <c r="I93" s="30" t="str">
        <f>KT_03!$K$43</f>
        <v/>
      </c>
    </row>
    <row r="94" ht="15.75" customHeight="1">
      <c r="A94" s="26"/>
      <c r="B94" s="26"/>
      <c r="C94" s="26"/>
      <c r="D94" s="29"/>
      <c r="E94" s="26"/>
      <c r="F94" s="26" t="str">
        <f>KT_04!$B$4</f>
        <v>L09</v>
      </c>
      <c r="G94" s="26" t="str">
        <f>KT_04!$A$14</f>
        <v>HS09-001</v>
      </c>
      <c r="H94" s="15" t="str">
        <f>KT_04!$B$14</f>
        <v>Trường An</v>
      </c>
      <c r="I94" s="30">
        <f>KT_04!$K$14</f>
        <v>0</v>
      </c>
    </row>
    <row r="95" ht="15.75" customHeight="1">
      <c r="A95" s="26"/>
      <c r="B95" s="26"/>
      <c r="C95" s="26"/>
      <c r="D95" s="29"/>
      <c r="E95" s="26"/>
      <c r="F95" s="26" t="str">
        <f>KT_04!$B$4</f>
        <v>L09</v>
      </c>
      <c r="G95" s="26" t="str">
        <f>KT_04!$A$15</f>
        <v>HS09-002</v>
      </c>
      <c r="H95" s="15" t="str">
        <f>KT_04!$B$15</f>
        <v>Như Quỳnh</v>
      </c>
      <c r="I95" s="30">
        <f>KT_04!$K$15</f>
        <v>180000</v>
      </c>
    </row>
    <row r="96" ht="15.75" customHeight="1">
      <c r="A96" s="26"/>
      <c r="B96" s="26"/>
      <c r="C96" s="26"/>
      <c r="D96" s="29"/>
      <c r="E96" s="26"/>
      <c r="F96" s="26" t="str">
        <f>KT_04!$B$4</f>
        <v>L09</v>
      </c>
      <c r="G96" s="26" t="str">
        <f>KT_04!$A$16</f>
        <v>HS09-003</v>
      </c>
      <c r="H96" s="15" t="str">
        <f>KT_04!$B$16</f>
        <v>Huy Đức</v>
      </c>
      <c r="I96" s="30">
        <f>KT_04!$K$16</f>
        <v>60000</v>
      </c>
    </row>
    <row r="97" ht="15.75" customHeight="1">
      <c r="A97" s="26"/>
      <c r="B97" s="26"/>
      <c r="C97" s="26"/>
      <c r="D97" s="29"/>
      <c r="E97" s="26"/>
      <c r="F97" s="26" t="str">
        <f>KT_04!$B$4</f>
        <v>L09</v>
      </c>
      <c r="G97" s="26" t="str">
        <f>KT_04!$A$17</f>
        <v>HS09-004</v>
      </c>
      <c r="H97" s="15" t="str">
        <f>KT_04!$B$17</f>
        <v>Anh Trọng</v>
      </c>
      <c r="I97" s="30">
        <f>KT_04!$K$17</f>
        <v>0</v>
      </c>
    </row>
    <row r="98" ht="15.75" customHeight="1">
      <c r="A98" s="26"/>
      <c r="B98" s="26"/>
      <c r="C98" s="26"/>
      <c r="D98" s="29"/>
      <c r="E98" s="26"/>
      <c r="F98" s="26" t="str">
        <f>KT_04!$B$4</f>
        <v>L09</v>
      </c>
      <c r="G98" s="26" t="str">
        <f>KT_04!$A$18</f>
        <v>HS09-005</v>
      </c>
      <c r="H98" s="15" t="str">
        <f>KT_04!$B$18</f>
        <v>Nguyễn Gia Bảo</v>
      </c>
      <c r="I98" s="30">
        <f>KT_04!$K$18</f>
        <v>0</v>
      </c>
    </row>
    <row r="99" ht="15.75" customHeight="1">
      <c r="A99" s="26"/>
      <c r="B99" s="26"/>
      <c r="C99" s="26"/>
      <c r="D99" s="29"/>
      <c r="E99" s="26"/>
      <c r="F99" s="26" t="str">
        <f>KT_04!$B$4</f>
        <v>L09</v>
      </c>
      <c r="G99" s="26" t="str">
        <f>KT_04!$A$19</f>
        <v>HS09-006</v>
      </c>
      <c r="H99" s="15" t="str">
        <f>KT_04!$B$19</f>
        <v>Phạm Đức Hùng</v>
      </c>
      <c r="I99" s="30">
        <f>KT_04!$K$19</f>
        <v>0</v>
      </c>
    </row>
    <row r="100" ht="15.75" customHeight="1">
      <c r="A100" s="26"/>
      <c r="B100" s="26"/>
      <c r="C100" s="26"/>
      <c r="D100" s="29"/>
      <c r="E100" s="26"/>
      <c r="F100" s="26" t="str">
        <f>KT_04!$B$4</f>
        <v>L09</v>
      </c>
      <c r="G100" s="26" t="str">
        <f>KT_04!$A$20</f>
        <v>HS09-007</v>
      </c>
      <c r="H100" s="15" t="str">
        <f>KT_04!$B$20</f>
        <v>Quân</v>
      </c>
      <c r="I100" s="30">
        <f>KT_04!$K$20</f>
        <v>0</v>
      </c>
    </row>
    <row r="101" ht="15.75" customHeight="1">
      <c r="A101" s="26"/>
      <c r="B101" s="26"/>
      <c r="C101" s="26"/>
      <c r="D101" s="29"/>
      <c r="E101" s="26"/>
      <c r="F101" s="26" t="str">
        <f>KT_04!$B$4</f>
        <v>L09</v>
      </c>
      <c r="G101" s="26" t="str">
        <f>KT_04!$A$21</f>
        <v>HS09-008</v>
      </c>
      <c r="H101" s="15" t="str">
        <f>KT_04!$B$21</f>
        <v>Châu</v>
      </c>
      <c r="I101" s="30">
        <f>KT_04!$K$21</f>
        <v>240000</v>
      </c>
    </row>
    <row r="102" ht="15.75" customHeight="1">
      <c r="A102" s="26"/>
      <c r="B102" s="26"/>
      <c r="C102" s="26"/>
      <c r="D102" s="29"/>
      <c r="E102" s="26"/>
      <c r="F102" s="26" t="str">
        <f>KT_04!$B$4</f>
        <v>L09</v>
      </c>
      <c r="G102" s="26" t="str">
        <f>KT_04!$A$22</f>
        <v>HS09-009</v>
      </c>
      <c r="H102" s="15" t="str">
        <f>KT_04!$B$22</f>
        <v>Phương Nhi</v>
      </c>
      <c r="I102" s="30">
        <f>KT_04!$K$22</f>
        <v>0</v>
      </c>
    </row>
    <row r="103" ht="15.75" customHeight="1">
      <c r="A103" s="26"/>
      <c r="B103" s="26"/>
      <c r="C103" s="26"/>
      <c r="D103" s="29"/>
      <c r="E103" s="26"/>
      <c r="F103" s="26" t="str">
        <f>KT_04!$B$4</f>
        <v>L09</v>
      </c>
      <c r="G103" s="26" t="str">
        <f>KT_04!$A$23</f>
        <v>HS09-010</v>
      </c>
      <c r="H103" s="15" t="str">
        <f>KT_04!$B$23</f>
        <v>Lê Bảo Châm</v>
      </c>
      <c r="I103" s="30">
        <f>KT_04!$K$23</f>
        <v>0</v>
      </c>
    </row>
    <row r="104" ht="15.75" customHeight="1">
      <c r="A104" s="26"/>
      <c r="B104" s="26"/>
      <c r="C104" s="26"/>
      <c r="D104" s="29"/>
      <c r="E104" s="26"/>
      <c r="F104" s="26" t="str">
        <f>KT_04!$B$4</f>
        <v>L09</v>
      </c>
      <c r="G104" s="26" t="str">
        <f t="shared" ref="G104:I104" si="2">#REF!</f>
        <v>#REF!</v>
      </c>
      <c r="H104" s="15" t="str">
        <f t="shared" si="2"/>
        <v>#REF!</v>
      </c>
      <c r="I104" s="30" t="str">
        <f t="shared" si="2"/>
        <v>#REF!</v>
      </c>
    </row>
    <row r="105" ht="15.75" customHeight="1">
      <c r="A105" s="26"/>
      <c r="B105" s="26"/>
      <c r="C105" s="26"/>
      <c r="D105" s="29"/>
      <c r="E105" s="26"/>
      <c r="F105" s="26" t="str">
        <f>KT_04!$B$4</f>
        <v>L09</v>
      </c>
      <c r="G105" s="26" t="str">
        <f t="shared" ref="G105:I105" si="3">#REF!</f>
        <v>#REF!</v>
      </c>
      <c r="H105" s="15" t="str">
        <f t="shared" si="3"/>
        <v>#REF!</v>
      </c>
      <c r="I105" s="30" t="str">
        <f t="shared" si="3"/>
        <v>#REF!</v>
      </c>
    </row>
    <row r="106" ht="15.75" customHeight="1">
      <c r="A106" s="26"/>
      <c r="B106" s="26"/>
      <c r="C106" s="26"/>
      <c r="D106" s="29"/>
      <c r="E106" s="26"/>
      <c r="F106" s="26" t="str">
        <f>KT_04!$B$4</f>
        <v>L09</v>
      </c>
      <c r="G106" s="26" t="str">
        <f>KT_04!$A$24</f>
        <v/>
      </c>
      <c r="H106" s="15" t="str">
        <f>KT_04!$B$24</f>
        <v/>
      </c>
      <c r="I106" s="30" t="str">
        <f>KT_04!$K$24</f>
        <v/>
      </c>
    </row>
    <row r="107" ht="15.75" customHeight="1">
      <c r="A107" s="26"/>
      <c r="B107" s="26"/>
      <c r="C107" s="26"/>
      <c r="D107" s="29"/>
      <c r="E107" s="26"/>
      <c r="F107" s="26" t="str">
        <f>KT_04!$B$4</f>
        <v>L09</v>
      </c>
      <c r="G107" s="26" t="str">
        <f>KT_04!$A$25</f>
        <v/>
      </c>
      <c r="H107" s="15" t="str">
        <f>KT_04!$B$25</f>
        <v/>
      </c>
      <c r="I107" s="30" t="str">
        <f>KT_04!$K$25</f>
        <v/>
      </c>
    </row>
    <row r="108" ht="15.75" customHeight="1">
      <c r="A108" s="26"/>
      <c r="B108" s="26"/>
      <c r="C108" s="26"/>
      <c r="D108" s="29"/>
      <c r="E108" s="26"/>
      <c r="F108" s="26" t="str">
        <f>KT_04!$B$4</f>
        <v>L09</v>
      </c>
      <c r="G108" s="26" t="str">
        <f>KT_04!$A$26</f>
        <v/>
      </c>
      <c r="H108" s="15" t="str">
        <f>KT_04!$B$26</f>
        <v/>
      </c>
      <c r="I108" s="30" t="str">
        <f>KT_04!$K$26</f>
        <v/>
      </c>
    </row>
    <row r="109" ht="15.75" customHeight="1">
      <c r="A109" s="26"/>
      <c r="B109" s="26"/>
      <c r="C109" s="26"/>
      <c r="D109" s="29"/>
      <c r="E109" s="26"/>
      <c r="F109" s="26" t="str">
        <f>KT_04!$B$4</f>
        <v>L09</v>
      </c>
      <c r="G109" s="26" t="str">
        <f>KT_04!$A$27</f>
        <v/>
      </c>
      <c r="H109" s="15" t="str">
        <f>KT_04!$B$27</f>
        <v/>
      </c>
      <c r="I109" s="30" t="str">
        <f>KT_04!$K$27</f>
        <v/>
      </c>
    </row>
    <row r="110" ht="15.75" customHeight="1">
      <c r="A110" s="26"/>
      <c r="B110" s="26"/>
      <c r="C110" s="26"/>
      <c r="D110" s="29"/>
      <c r="E110" s="26"/>
      <c r="F110" s="26" t="str">
        <f>KT_04!$B$4</f>
        <v>L09</v>
      </c>
      <c r="G110" s="26" t="str">
        <f>KT_04!$A$28</f>
        <v/>
      </c>
      <c r="H110" s="15" t="str">
        <f>KT_04!$B$28</f>
        <v/>
      </c>
      <c r="I110" s="30" t="str">
        <f>KT_04!$K$28</f>
        <v/>
      </c>
    </row>
    <row r="111" ht="15.75" customHeight="1">
      <c r="A111" s="26"/>
      <c r="B111" s="26"/>
      <c r="C111" s="26"/>
      <c r="D111" s="29"/>
      <c r="E111" s="26"/>
      <c r="F111" s="26" t="str">
        <f>KT_04!$B$4</f>
        <v>L09</v>
      </c>
      <c r="G111" s="26" t="str">
        <f>KT_04!$A$29</f>
        <v/>
      </c>
      <c r="H111" s="15" t="str">
        <f>KT_04!$B$29</f>
        <v/>
      </c>
      <c r="I111" s="30" t="str">
        <f>KT_04!$K$29</f>
        <v/>
      </c>
    </row>
    <row r="112" ht="15.75" customHeight="1">
      <c r="A112" s="26"/>
      <c r="B112" s="26"/>
      <c r="C112" s="26"/>
      <c r="D112" s="29"/>
      <c r="E112" s="26"/>
      <c r="F112" s="26" t="str">
        <f>KT_04!$B$4</f>
        <v>L09</v>
      </c>
      <c r="G112" s="26" t="str">
        <f>KT_04!$A$30</f>
        <v/>
      </c>
      <c r="H112" s="15" t="str">
        <f>KT_04!$B$30</f>
        <v/>
      </c>
      <c r="I112" s="30" t="str">
        <f>KT_04!$K$30</f>
        <v/>
      </c>
    </row>
    <row r="113" ht="15.75" customHeight="1">
      <c r="A113" s="26"/>
      <c r="B113" s="26"/>
      <c r="C113" s="26"/>
      <c r="D113" s="29"/>
      <c r="E113" s="26"/>
      <c r="F113" s="26" t="str">
        <f>KT_04!$B$4</f>
        <v>L09</v>
      </c>
      <c r="G113" s="26" t="str">
        <f>KT_04!$A$31</f>
        <v/>
      </c>
      <c r="H113" s="15" t="str">
        <f>KT_04!$B$31</f>
        <v/>
      </c>
      <c r="I113" s="30" t="str">
        <f>KT_04!$K$31</f>
        <v/>
      </c>
    </row>
    <row r="114" ht="15.75" customHeight="1">
      <c r="A114" s="26"/>
      <c r="B114" s="26"/>
      <c r="C114" s="26"/>
      <c r="D114" s="29"/>
      <c r="E114" s="26"/>
      <c r="F114" s="26" t="str">
        <f>KT_04!$B$4</f>
        <v>L09</v>
      </c>
      <c r="G114" s="26" t="str">
        <f>KT_04!$A$32</f>
        <v/>
      </c>
      <c r="H114" s="15" t="str">
        <f>KT_04!$B$32</f>
        <v/>
      </c>
      <c r="I114" s="30" t="str">
        <f>KT_04!$K$32</f>
        <v/>
      </c>
    </row>
    <row r="115" ht="15.75" customHeight="1">
      <c r="A115" s="26"/>
      <c r="B115" s="26"/>
      <c r="C115" s="26"/>
      <c r="D115" s="29"/>
      <c r="E115" s="26"/>
      <c r="F115" s="26" t="str">
        <f>KT_04!$B$4</f>
        <v>L09</v>
      </c>
      <c r="G115" s="26" t="str">
        <f>KT_04!$A$33</f>
        <v/>
      </c>
      <c r="H115" s="15" t="str">
        <f>KT_04!$B$33</f>
        <v/>
      </c>
      <c r="I115" s="30" t="str">
        <f>KT_04!$K$33</f>
        <v/>
      </c>
    </row>
    <row r="116" ht="15.75" customHeight="1">
      <c r="A116" s="26"/>
      <c r="B116" s="26"/>
      <c r="C116" s="26"/>
      <c r="D116" s="29"/>
      <c r="E116" s="26"/>
      <c r="F116" s="26" t="str">
        <f>KT_04!$B$4</f>
        <v>L09</v>
      </c>
      <c r="G116" s="26" t="str">
        <f>KT_04!$A$34</f>
        <v/>
      </c>
      <c r="H116" s="15" t="str">
        <f>KT_04!$B$34</f>
        <v/>
      </c>
      <c r="I116" s="30" t="str">
        <f>KT_04!$K$34</f>
        <v/>
      </c>
    </row>
    <row r="117" ht="15.75" customHeight="1">
      <c r="A117" s="26"/>
      <c r="B117" s="26"/>
      <c r="C117" s="26"/>
      <c r="D117" s="29"/>
      <c r="E117" s="26"/>
      <c r="F117" s="26" t="str">
        <f>KT_04!$B$4</f>
        <v>L09</v>
      </c>
      <c r="G117" s="26" t="str">
        <f>KT_04!$A$35</f>
        <v/>
      </c>
      <c r="H117" s="15" t="str">
        <f>KT_04!$B$35</f>
        <v/>
      </c>
      <c r="I117" s="30" t="str">
        <f>KT_04!$K$35</f>
        <v/>
      </c>
    </row>
    <row r="118" ht="15.75" customHeight="1">
      <c r="A118" s="26"/>
      <c r="B118" s="26"/>
      <c r="C118" s="26"/>
      <c r="D118" s="29"/>
      <c r="E118" s="26"/>
      <c r="F118" s="26" t="str">
        <f>KT_04!$B$4</f>
        <v>L09</v>
      </c>
      <c r="G118" s="26" t="str">
        <f>KT_04!$A$36</f>
        <v/>
      </c>
      <c r="H118" s="15" t="str">
        <f>KT_04!$B$36</f>
        <v/>
      </c>
      <c r="I118" s="30" t="str">
        <f>KT_04!$K$36</f>
        <v/>
      </c>
    </row>
    <row r="119" ht="15.75" customHeight="1">
      <c r="A119" s="26"/>
      <c r="B119" s="26"/>
      <c r="C119" s="26"/>
      <c r="D119" s="29"/>
      <c r="E119" s="26"/>
      <c r="F119" s="26" t="str">
        <f>KT_04!$B$4</f>
        <v>L09</v>
      </c>
      <c r="G119" s="26" t="str">
        <f>KT_04!$A$37</f>
        <v/>
      </c>
      <c r="H119" s="15" t="str">
        <f>KT_04!$B$37</f>
        <v/>
      </c>
      <c r="I119" s="30" t="str">
        <f>KT_04!$K$37</f>
        <v/>
      </c>
    </row>
    <row r="120" ht="15.75" customHeight="1">
      <c r="A120" s="26"/>
      <c r="B120" s="26"/>
      <c r="C120" s="26"/>
      <c r="D120" s="29"/>
      <c r="E120" s="26"/>
      <c r="F120" s="26" t="str">
        <f>KT_04!$B$4</f>
        <v>L09</v>
      </c>
      <c r="G120" s="26" t="str">
        <f>KT_04!$A$38</f>
        <v/>
      </c>
      <c r="H120" s="15" t="str">
        <f>KT_04!$B$38</f>
        <v/>
      </c>
      <c r="I120" s="30" t="str">
        <f>KT_04!$K$38</f>
        <v/>
      </c>
    </row>
    <row r="121" ht="15.75" customHeight="1">
      <c r="A121" s="26"/>
      <c r="B121" s="26"/>
      <c r="C121" s="26"/>
      <c r="D121" s="29"/>
      <c r="E121" s="26"/>
      <c r="F121" s="26" t="str">
        <f>KT_04!$B$4</f>
        <v>L09</v>
      </c>
      <c r="G121" s="26" t="str">
        <f>KT_04!$A$39</f>
        <v/>
      </c>
      <c r="H121" s="15" t="str">
        <f>KT_04!$B$39</f>
        <v/>
      </c>
      <c r="I121" s="30" t="str">
        <f>KT_04!$K$39</f>
        <v/>
      </c>
    </row>
    <row r="122" ht="15.75" customHeight="1">
      <c r="A122" s="26"/>
      <c r="B122" s="26"/>
      <c r="C122" s="26"/>
      <c r="D122" s="29"/>
      <c r="E122" s="26"/>
      <c r="F122" s="26" t="str">
        <f>KT_04!$B$4</f>
        <v>L09</v>
      </c>
      <c r="G122" s="26" t="str">
        <f>KT_04!$A$40</f>
        <v/>
      </c>
      <c r="H122" s="15" t="str">
        <f>KT_04!$B$40</f>
        <v/>
      </c>
      <c r="I122" s="30" t="str">
        <f>KT_04!$K$40</f>
        <v/>
      </c>
    </row>
    <row r="123" ht="15.75" customHeight="1">
      <c r="A123" s="26"/>
      <c r="B123" s="26"/>
      <c r="C123" s="26"/>
      <c r="D123" s="29"/>
      <c r="E123" s="26"/>
      <c r="F123" s="26" t="str">
        <f>KT_04!$B$4</f>
        <v>L09</v>
      </c>
      <c r="G123" s="26" t="str">
        <f>KT_04!$A$41</f>
        <v/>
      </c>
      <c r="H123" s="15" t="str">
        <f>KT_04!$B$41</f>
        <v/>
      </c>
      <c r="I123" s="30" t="str">
        <f>KT_04!$K$41</f>
        <v/>
      </c>
    </row>
    <row r="124" ht="15.75" customHeight="1">
      <c r="A124" s="26"/>
      <c r="B124" s="26"/>
      <c r="C124" s="26"/>
      <c r="D124" s="29"/>
      <c r="E124" s="26"/>
      <c r="F124" s="26" t="str">
        <f>KT_05!$B$4</f>
        <v/>
      </c>
      <c r="G124" s="26" t="str">
        <f>KT_05!$A$14</f>
        <v/>
      </c>
      <c r="H124" s="15" t="str">
        <f>KT_05!$B$14</f>
        <v/>
      </c>
      <c r="I124" s="30" t="str">
        <f>KT_05!$K$14</f>
        <v/>
      </c>
    </row>
    <row r="125" ht="15.75" customHeight="1">
      <c r="A125" s="26"/>
      <c r="B125" s="26"/>
      <c r="C125" s="26"/>
      <c r="D125" s="29"/>
      <c r="E125" s="26"/>
      <c r="F125" s="26" t="str">
        <f>KT_05!$B$4</f>
        <v/>
      </c>
      <c r="G125" s="26" t="str">
        <f>KT_05!$A$15</f>
        <v/>
      </c>
      <c r="H125" s="15" t="str">
        <f>KT_05!$B$15</f>
        <v/>
      </c>
      <c r="I125" s="30" t="str">
        <f>KT_05!$K$15</f>
        <v/>
      </c>
    </row>
    <row r="126" ht="15.75" customHeight="1">
      <c r="A126" s="26"/>
      <c r="B126" s="26"/>
      <c r="C126" s="26"/>
      <c r="D126" s="29"/>
      <c r="E126" s="26"/>
      <c r="F126" s="26" t="str">
        <f>KT_05!$B$4</f>
        <v/>
      </c>
      <c r="G126" s="26" t="str">
        <f>KT_05!$A$16</f>
        <v/>
      </c>
      <c r="H126" s="15" t="str">
        <f>KT_05!$B$16</f>
        <v/>
      </c>
      <c r="I126" s="30" t="str">
        <f>KT_05!$K$16</f>
        <v/>
      </c>
    </row>
    <row r="127" ht="15.75" customHeight="1">
      <c r="A127" s="26"/>
      <c r="B127" s="26"/>
      <c r="C127" s="26"/>
      <c r="D127" s="29"/>
      <c r="E127" s="26"/>
      <c r="F127" s="26" t="str">
        <f>KT_05!$B$4</f>
        <v/>
      </c>
      <c r="G127" s="26" t="str">
        <f>KT_05!$A$17</f>
        <v/>
      </c>
      <c r="H127" s="15" t="str">
        <f>KT_05!$B$17</f>
        <v/>
      </c>
      <c r="I127" s="30" t="str">
        <f>KT_05!$K$17</f>
        <v/>
      </c>
    </row>
    <row r="128" ht="15.75" customHeight="1">
      <c r="A128" s="26"/>
      <c r="B128" s="26"/>
      <c r="C128" s="26"/>
      <c r="D128" s="29"/>
      <c r="E128" s="26"/>
      <c r="F128" s="26" t="str">
        <f>KT_05!$B$4</f>
        <v/>
      </c>
      <c r="G128" s="26" t="str">
        <f>KT_05!$A$18</f>
        <v/>
      </c>
      <c r="H128" s="15" t="str">
        <f>KT_05!$B$18</f>
        <v/>
      </c>
      <c r="I128" s="30" t="str">
        <f>KT_05!$K$18</f>
        <v/>
      </c>
    </row>
    <row r="129" ht="15.75" customHeight="1">
      <c r="A129" s="26"/>
      <c r="B129" s="26"/>
      <c r="C129" s="26"/>
      <c r="D129" s="29"/>
      <c r="E129" s="26"/>
      <c r="F129" s="26" t="str">
        <f>KT_05!$B$4</f>
        <v/>
      </c>
      <c r="G129" s="26" t="str">
        <f>KT_05!$A$19</f>
        <v/>
      </c>
      <c r="H129" s="15" t="str">
        <f>KT_05!$B$19</f>
        <v/>
      </c>
      <c r="I129" s="30" t="str">
        <f>KT_05!$K$19</f>
        <v/>
      </c>
    </row>
    <row r="130" ht="15.75" customHeight="1">
      <c r="A130" s="26"/>
      <c r="B130" s="26"/>
      <c r="C130" s="26"/>
      <c r="D130" s="29"/>
      <c r="E130" s="26"/>
      <c r="F130" s="26" t="str">
        <f>KT_05!$B$4</f>
        <v/>
      </c>
      <c r="G130" s="26" t="str">
        <f>KT_05!$A$20</f>
        <v/>
      </c>
      <c r="H130" s="15" t="str">
        <f>KT_05!$B$20</f>
        <v/>
      </c>
      <c r="I130" s="30" t="str">
        <f>KT_05!$K$20</f>
        <v/>
      </c>
    </row>
    <row r="131" ht="15.75" customHeight="1">
      <c r="A131" s="26"/>
      <c r="B131" s="26"/>
      <c r="C131" s="26"/>
      <c r="D131" s="29"/>
      <c r="E131" s="26"/>
      <c r="F131" s="26" t="str">
        <f>KT_05!$B$4</f>
        <v/>
      </c>
      <c r="G131" s="26" t="str">
        <f>KT_05!$A$21</f>
        <v/>
      </c>
      <c r="H131" s="15" t="str">
        <f>KT_05!$B$21</f>
        <v/>
      </c>
      <c r="I131" s="30" t="str">
        <f>KT_05!$K$21</f>
        <v/>
      </c>
    </row>
    <row r="132" ht="15.75" customHeight="1">
      <c r="A132" s="26"/>
      <c r="B132" s="26"/>
      <c r="C132" s="26"/>
      <c r="D132" s="29"/>
      <c r="E132" s="26"/>
      <c r="F132" s="26" t="str">
        <f>KT_05!$B$4</f>
        <v/>
      </c>
      <c r="G132" s="26" t="str">
        <f>KT_05!$A$22</f>
        <v/>
      </c>
      <c r="H132" s="15" t="str">
        <f>KT_05!$B$22</f>
        <v/>
      </c>
      <c r="I132" s="30" t="str">
        <f>KT_05!$K$22</f>
        <v/>
      </c>
    </row>
    <row r="133" ht="15.75" customHeight="1">
      <c r="A133" s="26"/>
      <c r="B133" s="26"/>
      <c r="C133" s="26"/>
      <c r="D133" s="29"/>
      <c r="E133" s="26"/>
      <c r="F133" s="26" t="str">
        <f>KT_05!$B$4</f>
        <v/>
      </c>
      <c r="G133" s="26" t="str">
        <f>KT_05!$A$23</f>
        <v/>
      </c>
      <c r="H133" s="15" t="str">
        <f>KT_05!$B$23</f>
        <v/>
      </c>
      <c r="I133" s="30" t="str">
        <f>KT_05!$K$23</f>
        <v/>
      </c>
    </row>
    <row r="134" ht="15.75" customHeight="1">
      <c r="A134" s="26"/>
      <c r="B134" s="26"/>
      <c r="C134" s="26"/>
      <c r="D134" s="29"/>
      <c r="E134" s="26"/>
      <c r="F134" s="26" t="str">
        <f>KT_05!$B$4</f>
        <v/>
      </c>
      <c r="G134" s="26" t="str">
        <f>KT_05!$A$24</f>
        <v/>
      </c>
      <c r="H134" s="15" t="str">
        <f>KT_05!$B$24</f>
        <v/>
      </c>
      <c r="I134" s="30" t="str">
        <f>KT_05!$K$24</f>
        <v/>
      </c>
    </row>
    <row r="135" ht="15.75" customHeight="1">
      <c r="A135" s="26"/>
      <c r="B135" s="26"/>
      <c r="C135" s="26"/>
      <c r="D135" s="29"/>
      <c r="E135" s="26"/>
      <c r="F135" s="26" t="str">
        <f>KT_05!$B$4</f>
        <v/>
      </c>
      <c r="G135" s="26" t="str">
        <f>KT_05!$A$25</f>
        <v/>
      </c>
      <c r="H135" s="15" t="str">
        <f>KT_05!$B$25</f>
        <v/>
      </c>
      <c r="I135" s="30" t="str">
        <f>KT_05!$K$25</f>
        <v/>
      </c>
    </row>
    <row r="136" ht="15.75" customHeight="1">
      <c r="A136" s="26"/>
      <c r="B136" s="26"/>
      <c r="C136" s="26"/>
      <c r="D136" s="29"/>
      <c r="E136" s="26"/>
      <c r="F136" s="26" t="str">
        <f>KT_05!$B$4</f>
        <v/>
      </c>
      <c r="G136" s="26" t="str">
        <f>KT_05!$A$26</f>
        <v/>
      </c>
      <c r="H136" s="15" t="str">
        <f>KT_05!$B$26</f>
        <v/>
      </c>
      <c r="I136" s="30" t="str">
        <f>KT_05!$K$26</f>
        <v/>
      </c>
    </row>
    <row r="137" ht="15.75" customHeight="1">
      <c r="A137" s="26"/>
      <c r="B137" s="26"/>
      <c r="C137" s="26"/>
      <c r="D137" s="29"/>
      <c r="E137" s="26"/>
      <c r="F137" s="26" t="str">
        <f>KT_05!$B$4</f>
        <v/>
      </c>
      <c r="G137" s="26" t="str">
        <f>KT_05!$A$27</f>
        <v/>
      </c>
      <c r="H137" s="15" t="str">
        <f>KT_05!$B$27</f>
        <v/>
      </c>
      <c r="I137" s="30" t="str">
        <f>KT_05!$K$27</f>
        <v/>
      </c>
    </row>
    <row r="138" ht="15.75" customHeight="1">
      <c r="A138" s="26"/>
      <c r="B138" s="26"/>
      <c r="C138" s="26"/>
      <c r="D138" s="29"/>
      <c r="E138" s="26"/>
      <c r="F138" s="26" t="str">
        <f>KT_05!$B$4</f>
        <v/>
      </c>
      <c r="G138" s="26" t="str">
        <f>KT_05!$A$28</f>
        <v/>
      </c>
      <c r="H138" s="15" t="str">
        <f>KT_05!$B$28</f>
        <v/>
      </c>
      <c r="I138" s="30" t="str">
        <f>KT_05!$K$28</f>
        <v/>
      </c>
    </row>
    <row r="139" ht="15.75" customHeight="1">
      <c r="A139" s="26"/>
      <c r="B139" s="26"/>
      <c r="C139" s="26"/>
      <c r="D139" s="29"/>
      <c r="E139" s="26"/>
      <c r="F139" s="26" t="str">
        <f>KT_05!$B$4</f>
        <v/>
      </c>
      <c r="G139" s="26" t="str">
        <f>KT_05!$A$29</f>
        <v/>
      </c>
      <c r="H139" s="15" t="str">
        <f>KT_05!$B$29</f>
        <v/>
      </c>
      <c r="I139" s="30" t="str">
        <f>KT_05!$K$29</f>
        <v/>
      </c>
    </row>
    <row r="140" ht="15.75" customHeight="1">
      <c r="A140" s="26"/>
      <c r="B140" s="26"/>
      <c r="C140" s="26"/>
      <c r="D140" s="29"/>
      <c r="E140" s="26"/>
      <c r="F140" s="26" t="str">
        <f>KT_05!$B$4</f>
        <v/>
      </c>
      <c r="G140" s="26" t="str">
        <f>KT_05!$A$30</f>
        <v/>
      </c>
      <c r="H140" s="15" t="str">
        <f>KT_05!$B$30</f>
        <v/>
      </c>
      <c r="I140" s="30" t="str">
        <f>KT_05!$K$30</f>
        <v/>
      </c>
    </row>
    <row r="141" ht="15.75" customHeight="1">
      <c r="A141" s="26"/>
      <c r="B141" s="26"/>
      <c r="C141" s="26"/>
      <c r="D141" s="29"/>
      <c r="E141" s="26"/>
      <c r="F141" s="26" t="str">
        <f>KT_05!$B$4</f>
        <v/>
      </c>
      <c r="G141" s="26" t="str">
        <f>KT_05!$A$31</f>
        <v/>
      </c>
      <c r="H141" s="15" t="str">
        <f>KT_05!$B$31</f>
        <v/>
      </c>
      <c r="I141" s="30" t="str">
        <f>KT_05!$K$31</f>
        <v/>
      </c>
    </row>
    <row r="142" ht="15.75" customHeight="1">
      <c r="A142" s="26"/>
      <c r="B142" s="26"/>
      <c r="C142" s="26"/>
      <c r="D142" s="29"/>
      <c r="E142" s="26"/>
      <c r="F142" s="26" t="str">
        <f>KT_05!$B$4</f>
        <v/>
      </c>
      <c r="G142" s="26" t="str">
        <f>KT_05!$A$32</f>
        <v/>
      </c>
      <c r="H142" s="15" t="str">
        <f>KT_05!$B$32</f>
        <v/>
      </c>
      <c r="I142" s="30" t="str">
        <f>KT_05!$K$32</f>
        <v/>
      </c>
    </row>
    <row r="143" ht="15.75" customHeight="1">
      <c r="A143" s="26"/>
      <c r="B143" s="26"/>
      <c r="C143" s="26"/>
      <c r="D143" s="29"/>
      <c r="E143" s="26"/>
      <c r="F143" s="26" t="str">
        <f>KT_05!$B$4</f>
        <v/>
      </c>
      <c r="G143" s="26" t="str">
        <f>KT_05!$A$33</f>
        <v/>
      </c>
      <c r="H143" s="15" t="str">
        <f>KT_05!$B$33</f>
        <v/>
      </c>
      <c r="I143" s="30" t="str">
        <f>KT_05!$K$33</f>
        <v/>
      </c>
    </row>
    <row r="144" ht="15.75" customHeight="1">
      <c r="A144" s="26"/>
      <c r="B144" s="26"/>
      <c r="C144" s="26"/>
      <c r="D144" s="29"/>
      <c r="E144" s="26"/>
      <c r="F144" s="26" t="str">
        <f>KT_05!$B$4</f>
        <v/>
      </c>
      <c r="G144" s="26" t="str">
        <f>KT_05!$A$34</f>
        <v/>
      </c>
      <c r="H144" s="15" t="str">
        <f>KT_05!$B$34</f>
        <v/>
      </c>
      <c r="I144" s="30" t="str">
        <f>KT_05!$K$34</f>
        <v/>
      </c>
    </row>
    <row r="145" ht="15.75" customHeight="1">
      <c r="A145" s="26"/>
      <c r="B145" s="26"/>
      <c r="C145" s="26"/>
      <c r="D145" s="29"/>
      <c r="E145" s="26"/>
      <c r="F145" s="26" t="str">
        <f>KT_05!$B$4</f>
        <v/>
      </c>
      <c r="G145" s="26" t="str">
        <f>KT_05!$A$35</f>
        <v/>
      </c>
      <c r="H145" s="15" t="str">
        <f>KT_05!$B$35</f>
        <v/>
      </c>
      <c r="I145" s="30" t="str">
        <f>KT_05!$K$35</f>
        <v/>
      </c>
    </row>
    <row r="146" ht="15.75" customHeight="1">
      <c r="A146" s="26"/>
      <c r="B146" s="26"/>
      <c r="C146" s="26"/>
      <c r="D146" s="29"/>
      <c r="E146" s="26"/>
      <c r="F146" s="26" t="str">
        <f>KT_05!$B$4</f>
        <v/>
      </c>
      <c r="G146" s="26" t="str">
        <f>KT_05!$A$36</f>
        <v/>
      </c>
      <c r="H146" s="15" t="str">
        <f>KT_05!$B$36</f>
        <v/>
      </c>
      <c r="I146" s="30" t="str">
        <f>KT_05!$K$36</f>
        <v/>
      </c>
    </row>
    <row r="147" ht="15.75" customHeight="1">
      <c r="A147" s="26"/>
      <c r="B147" s="26"/>
      <c r="C147" s="26"/>
      <c r="D147" s="29"/>
      <c r="E147" s="26"/>
      <c r="F147" s="26" t="str">
        <f>KT_05!$B$4</f>
        <v/>
      </c>
      <c r="G147" s="26" t="str">
        <f>KT_05!$A$37</f>
        <v/>
      </c>
      <c r="H147" s="15" t="str">
        <f>KT_05!$B$37</f>
        <v/>
      </c>
      <c r="I147" s="30" t="str">
        <f>KT_05!$K$37</f>
        <v/>
      </c>
    </row>
    <row r="148" ht="15.75" customHeight="1">
      <c r="A148" s="26"/>
      <c r="B148" s="26"/>
      <c r="C148" s="26"/>
      <c r="D148" s="29"/>
      <c r="E148" s="26"/>
      <c r="F148" s="26" t="str">
        <f>KT_05!$B$4</f>
        <v/>
      </c>
      <c r="G148" s="26" t="str">
        <f>KT_05!$A$38</f>
        <v/>
      </c>
      <c r="H148" s="15" t="str">
        <f>KT_05!$B$38</f>
        <v/>
      </c>
      <c r="I148" s="30" t="str">
        <f>KT_05!$K$38</f>
        <v/>
      </c>
    </row>
    <row r="149" ht="15.75" customHeight="1">
      <c r="A149" s="26"/>
      <c r="B149" s="26"/>
      <c r="C149" s="26"/>
      <c r="D149" s="29"/>
      <c r="E149" s="26"/>
      <c r="F149" s="26" t="str">
        <f>KT_05!$B$4</f>
        <v/>
      </c>
      <c r="G149" s="26" t="str">
        <f>KT_05!$A$39</f>
        <v/>
      </c>
      <c r="H149" s="15" t="str">
        <f>KT_05!$B$39</f>
        <v/>
      </c>
      <c r="I149" s="30" t="str">
        <f>KT_05!$K$39</f>
        <v/>
      </c>
    </row>
    <row r="150" ht="15.75" customHeight="1">
      <c r="A150" s="26"/>
      <c r="B150" s="26"/>
      <c r="C150" s="26"/>
      <c r="D150" s="29"/>
      <c r="E150" s="26"/>
      <c r="F150" s="26" t="str">
        <f>KT_05!$B$4</f>
        <v/>
      </c>
      <c r="G150" s="26" t="str">
        <f>KT_05!$A$40</f>
        <v/>
      </c>
      <c r="H150" s="15" t="str">
        <f>KT_05!$B$40</f>
        <v/>
      </c>
      <c r="I150" s="30" t="str">
        <f>KT_05!$K$40</f>
        <v/>
      </c>
    </row>
    <row r="151" ht="15.75" customHeight="1">
      <c r="A151" s="26"/>
      <c r="B151" s="26"/>
      <c r="C151" s="26"/>
      <c r="D151" s="29"/>
      <c r="E151" s="26"/>
      <c r="F151" s="26" t="str">
        <f>KT_05!$B$4</f>
        <v/>
      </c>
      <c r="G151" s="26" t="str">
        <f>KT_05!$A$41</f>
        <v/>
      </c>
      <c r="H151" s="15" t="str">
        <f>KT_05!$B$41</f>
        <v/>
      </c>
      <c r="I151" s="30" t="str">
        <f>KT_05!$K$41</f>
        <v/>
      </c>
    </row>
    <row r="152" ht="15.75" customHeight="1">
      <c r="A152" s="26"/>
      <c r="B152" s="26"/>
      <c r="C152" s="26"/>
      <c r="D152" s="29"/>
      <c r="E152" s="26"/>
      <c r="F152" s="26" t="str">
        <f>KT_05!$B$4</f>
        <v/>
      </c>
      <c r="G152" s="26" t="str">
        <f>KT_05!$A$42</f>
        <v/>
      </c>
      <c r="H152" s="15" t="str">
        <f>KT_05!$B$42</f>
        <v/>
      </c>
      <c r="I152" s="30" t="str">
        <f>KT_05!$K$42</f>
        <v/>
      </c>
    </row>
    <row r="153" ht="15.75" customHeight="1">
      <c r="A153" s="26"/>
      <c r="B153" s="26"/>
      <c r="C153" s="26"/>
      <c r="D153" s="29"/>
      <c r="E153" s="26"/>
      <c r="F153" s="26" t="str">
        <f>KT_05!$B$4</f>
        <v/>
      </c>
      <c r="G153" s="26" t="str">
        <f>KT_05!$A$43</f>
        <v/>
      </c>
      <c r="H153" s="15" t="str">
        <f>KT_05!$B$43</f>
        <v/>
      </c>
      <c r="I153" s="30" t="str">
        <f>KT_05!$K$43</f>
        <v/>
      </c>
    </row>
    <row r="154" ht="15.75" customHeight="1">
      <c r="A154" s="26"/>
      <c r="B154" s="26"/>
      <c r="C154" s="26"/>
      <c r="D154" s="29"/>
      <c r="E154" s="26"/>
      <c r="F154" s="26" t="str">
        <f>KT_06!$B$4</f>
        <v/>
      </c>
      <c r="G154" s="26" t="str">
        <f>KT_06!$A$14</f>
        <v/>
      </c>
      <c r="H154" s="15" t="str">
        <f>KT_06!$B$14</f>
        <v/>
      </c>
      <c r="I154" s="30" t="str">
        <f>KT_06!$K$14</f>
        <v/>
      </c>
    </row>
    <row r="155" ht="15.75" customHeight="1">
      <c r="A155" s="26"/>
      <c r="B155" s="26"/>
      <c r="C155" s="26"/>
      <c r="D155" s="29"/>
      <c r="E155" s="26"/>
      <c r="F155" s="26" t="str">
        <f>KT_06!$B$4</f>
        <v/>
      </c>
      <c r="G155" s="26" t="str">
        <f>KT_06!$A$15</f>
        <v/>
      </c>
      <c r="H155" s="15" t="str">
        <f>KT_06!$B$15</f>
        <v/>
      </c>
      <c r="I155" s="30" t="str">
        <f>KT_06!$K$15</f>
        <v/>
      </c>
    </row>
    <row r="156" ht="15.75" customHeight="1">
      <c r="A156" s="26"/>
      <c r="B156" s="26"/>
      <c r="C156" s="26"/>
      <c r="D156" s="29"/>
      <c r="E156" s="26"/>
      <c r="F156" s="26" t="str">
        <f>KT_06!$B$4</f>
        <v/>
      </c>
      <c r="G156" s="26" t="str">
        <f>KT_06!$A$16</f>
        <v/>
      </c>
      <c r="H156" s="15" t="str">
        <f>KT_06!$B$16</f>
        <v/>
      </c>
      <c r="I156" s="30" t="str">
        <f>KT_06!$K$16</f>
        <v/>
      </c>
    </row>
    <row r="157" ht="15.75" customHeight="1">
      <c r="A157" s="26"/>
      <c r="B157" s="26"/>
      <c r="C157" s="26"/>
      <c r="D157" s="29"/>
      <c r="E157" s="26"/>
      <c r="F157" s="26" t="str">
        <f>KT_06!$B$4</f>
        <v/>
      </c>
      <c r="G157" s="26" t="str">
        <f>KT_06!$A$17</f>
        <v/>
      </c>
      <c r="H157" s="15" t="str">
        <f>KT_06!$B$17</f>
        <v/>
      </c>
      <c r="I157" s="30" t="str">
        <f>KT_06!$K$17</f>
        <v/>
      </c>
    </row>
    <row r="158" ht="15.75" customHeight="1">
      <c r="A158" s="26"/>
      <c r="B158" s="26"/>
      <c r="C158" s="26"/>
      <c r="D158" s="29"/>
      <c r="E158" s="26"/>
      <c r="F158" s="26" t="str">
        <f>KT_06!$B$4</f>
        <v/>
      </c>
      <c r="G158" s="26" t="str">
        <f>KT_06!$A$18</f>
        <v/>
      </c>
      <c r="H158" s="15" t="str">
        <f>KT_06!$B$18</f>
        <v/>
      </c>
      <c r="I158" s="30" t="str">
        <f>KT_06!$K$18</f>
        <v/>
      </c>
    </row>
    <row r="159" ht="15.75" customHeight="1">
      <c r="A159" s="26"/>
      <c r="B159" s="26"/>
      <c r="C159" s="26"/>
      <c r="D159" s="29"/>
      <c r="E159" s="26"/>
      <c r="F159" s="26" t="str">
        <f>KT_06!$B$4</f>
        <v/>
      </c>
      <c r="G159" s="26" t="str">
        <f>KT_06!$A$19</f>
        <v/>
      </c>
      <c r="H159" s="15" t="str">
        <f>KT_06!$B$19</f>
        <v/>
      </c>
      <c r="I159" s="30" t="str">
        <f>KT_06!$K$19</f>
        <v/>
      </c>
    </row>
    <row r="160" ht="15.75" customHeight="1">
      <c r="A160" s="26"/>
      <c r="B160" s="26"/>
      <c r="C160" s="26"/>
      <c r="D160" s="29"/>
      <c r="E160" s="26"/>
      <c r="F160" s="26" t="str">
        <f>KT_06!$B$4</f>
        <v/>
      </c>
      <c r="G160" s="26" t="str">
        <f>KT_06!$A$20</f>
        <v/>
      </c>
      <c r="H160" s="15" t="str">
        <f>KT_06!$B$20</f>
        <v/>
      </c>
      <c r="I160" s="30" t="str">
        <f>KT_06!$K$20</f>
        <v/>
      </c>
    </row>
    <row r="161" ht="15.75" customHeight="1">
      <c r="A161" s="26"/>
      <c r="B161" s="26"/>
      <c r="C161" s="26"/>
      <c r="D161" s="29"/>
      <c r="E161" s="26"/>
      <c r="F161" s="26" t="str">
        <f>KT_06!$B$4</f>
        <v/>
      </c>
      <c r="G161" s="26" t="str">
        <f>KT_06!$A$21</f>
        <v/>
      </c>
      <c r="H161" s="15" t="str">
        <f>KT_06!$B$21</f>
        <v/>
      </c>
      <c r="I161" s="30" t="str">
        <f>KT_06!$K$21</f>
        <v/>
      </c>
    </row>
    <row r="162" ht="15.75" customHeight="1">
      <c r="A162" s="26"/>
      <c r="B162" s="26"/>
      <c r="C162" s="26"/>
      <c r="D162" s="29"/>
      <c r="E162" s="26"/>
      <c r="F162" s="26" t="str">
        <f>KT_06!$B$4</f>
        <v/>
      </c>
      <c r="G162" s="26" t="str">
        <f>KT_06!$A$22</f>
        <v/>
      </c>
      <c r="H162" s="15" t="str">
        <f>KT_06!$B$22</f>
        <v/>
      </c>
      <c r="I162" s="30" t="str">
        <f>KT_06!$K$22</f>
        <v/>
      </c>
    </row>
    <row r="163" ht="15.75" customHeight="1">
      <c r="A163" s="26"/>
      <c r="B163" s="26"/>
      <c r="C163" s="26"/>
      <c r="D163" s="29"/>
      <c r="E163" s="26"/>
      <c r="F163" s="26" t="str">
        <f>KT_06!$B$4</f>
        <v/>
      </c>
      <c r="G163" s="26" t="str">
        <f>KT_06!$A$23</f>
        <v/>
      </c>
      <c r="H163" s="15" t="str">
        <f>KT_06!$B$23</f>
        <v/>
      </c>
      <c r="I163" s="30" t="str">
        <f>KT_06!$K$23</f>
        <v/>
      </c>
    </row>
    <row r="164" ht="15.75" customHeight="1">
      <c r="A164" s="26"/>
      <c r="B164" s="26"/>
      <c r="C164" s="26"/>
      <c r="D164" s="29"/>
      <c r="E164" s="26"/>
      <c r="F164" s="26" t="str">
        <f>KT_06!$B$4</f>
        <v/>
      </c>
      <c r="G164" s="26" t="str">
        <f>KT_06!$A$24</f>
        <v/>
      </c>
      <c r="H164" s="15" t="str">
        <f>KT_06!$B$24</f>
        <v/>
      </c>
      <c r="I164" s="30" t="str">
        <f>KT_06!$K$24</f>
        <v/>
      </c>
    </row>
    <row r="165" ht="15.75" customHeight="1">
      <c r="A165" s="26"/>
      <c r="B165" s="26"/>
      <c r="C165" s="26"/>
      <c r="D165" s="29"/>
      <c r="E165" s="26"/>
      <c r="F165" s="26" t="str">
        <f>KT_06!$B$4</f>
        <v/>
      </c>
      <c r="G165" s="26" t="str">
        <f>KT_06!$A$25</f>
        <v/>
      </c>
      <c r="H165" s="15" t="str">
        <f>KT_06!$B$25</f>
        <v/>
      </c>
      <c r="I165" s="30" t="str">
        <f>KT_06!$K$25</f>
        <v/>
      </c>
    </row>
    <row r="166" ht="15.75" customHeight="1">
      <c r="A166" s="26"/>
      <c r="B166" s="26"/>
      <c r="C166" s="26"/>
      <c r="D166" s="29"/>
      <c r="E166" s="26"/>
      <c r="F166" s="26" t="str">
        <f>KT_06!$B$4</f>
        <v/>
      </c>
      <c r="G166" s="26" t="str">
        <f>KT_06!$A$26</f>
        <v/>
      </c>
      <c r="H166" s="15" t="str">
        <f>KT_06!$B$26</f>
        <v/>
      </c>
      <c r="I166" s="30" t="str">
        <f>KT_06!$K$26</f>
        <v/>
      </c>
    </row>
    <row r="167" ht="15.75" customHeight="1">
      <c r="A167" s="26"/>
      <c r="B167" s="26"/>
      <c r="C167" s="26"/>
      <c r="D167" s="29"/>
      <c r="E167" s="26"/>
      <c r="F167" s="26" t="str">
        <f>KT_06!$B$4</f>
        <v/>
      </c>
      <c r="G167" s="26" t="str">
        <f>KT_06!$A$27</f>
        <v/>
      </c>
      <c r="H167" s="15" t="str">
        <f>KT_06!$B$27</f>
        <v/>
      </c>
      <c r="I167" s="30" t="str">
        <f>KT_06!$K$27</f>
        <v/>
      </c>
    </row>
    <row r="168" ht="15.75" customHeight="1">
      <c r="A168" s="26"/>
      <c r="B168" s="26"/>
      <c r="C168" s="26"/>
      <c r="D168" s="29"/>
      <c r="E168" s="26"/>
      <c r="F168" s="26" t="str">
        <f>KT_06!$B$4</f>
        <v/>
      </c>
      <c r="G168" s="26" t="str">
        <f>KT_06!$A$28</f>
        <v/>
      </c>
      <c r="H168" s="15" t="str">
        <f>KT_06!$B$28</f>
        <v/>
      </c>
      <c r="I168" s="30" t="str">
        <f>KT_06!$K$28</f>
        <v/>
      </c>
    </row>
    <row r="169" ht="15.75" customHeight="1">
      <c r="A169" s="26"/>
      <c r="B169" s="26"/>
      <c r="C169" s="26"/>
      <c r="D169" s="29"/>
      <c r="E169" s="26"/>
      <c r="F169" s="26" t="str">
        <f>KT_06!$B$4</f>
        <v/>
      </c>
      <c r="G169" s="26" t="str">
        <f>KT_06!$A$29</f>
        <v/>
      </c>
      <c r="H169" s="15" t="str">
        <f>KT_06!$B$29</f>
        <v/>
      </c>
      <c r="I169" s="30" t="str">
        <f>KT_06!$K$29</f>
        <v/>
      </c>
    </row>
    <row r="170" ht="15.75" customHeight="1">
      <c r="A170" s="26"/>
      <c r="B170" s="26"/>
      <c r="C170" s="26"/>
      <c r="D170" s="29"/>
      <c r="E170" s="26"/>
      <c r="F170" s="26" t="str">
        <f>KT_06!$B$4</f>
        <v/>
      </c>
      <c r="G170" s="26" t="str">
        <f>KT_06!$A$30</f>
        <v/>
      </c>
      <c r="H170" s="15" t="str">
        <f>KT_06!$B$30</f>
        <v/>
      </c>
      <c r="I170" s="30" t="str">
        <f>KT_06!$K$30</f>
        <v/>
      </c>
    </row>
    <row r="171" ht="15.75" customHeight="1">
      <c r="A171" s="26"/>
      <c r="B171" s="26"/>
      <c r="C171" s="26"/>
      <c r="D171" s="29"/>
      <c r="E171" s="26"/>
      <c r="F171" s="26" t="str">
        <f>KT_06!$B$4</f>
        <v/>
      </c>
      <c r="G171" s="26" t="str">
        <f>KT_06!$A$31</f>
        <v/>
      </c>
      <c r="H171" s="15" t="str">
        <f>KT_06!$B$31</f>
        <v/>
      </c>
      <c r="I171" s="30" t="str">
        <f>KT_06!$K$31</f>
        <v/>
      </c>
    </row>
    <row r="172" ht="15.75" customHeight="1">
      <c r="A172" s="26"/>
      <c r="B172" s="26"/>
      <c r="C172" s="26"/>
      <c r="D172" s="29"/>
      <c r="E172" s="26"/>
      <c r="F172" s="26" t="str">
        <f>KT_06!$B$4</f>
        <v/>
      </c>
      <c r="G172" s="26" t="str">
        <f>KT_06!$A$32</f>
        <v/>
      </c>
      <c r="H172" s="15" t="str">
        <f>KT_06!$B$32</f>
        <v/>
      </c>
      <c r="I172" s="30" t="str">
        <f>KT_06!$K$32</f>
        <v/>
      </c>
    </row>
    <row r="173" ht="15.75" customHeight="1">
      <c r="A173" s="26"/>
      <c r="B173" s="26"/>
      <c r="C173" s="26"/>
      <c r="D173" s="29"/>
      <c r="E173" s="26"/>
      <c r="F173" s="26" t="str">
        <f>KT_06!$B$4</f>
        <v/>
      </c>
      <c r="G173" s="26" t="str">
        <f>KT_06!$A$33</f>
        <v/>
      </c>
      <c r="H173" s="15" t="str">
        <f>KT_06!$B$33</f>
        <v/>
      </c>
      <c r="I173" s="30" t="str">
        <f>KT_06!$K$33</f>
        <v/>
      </c>
    </row>
    <row r="174" ht="15.75" customHeight="1">
      <c r="A174" s="26"/>
      <c r="B174" s="26"/>
      <c r="C174" s="26"/>
      <c r="D174" s="29"/>
      <c r="E174" s="26"/>
      <c r="F174" s="26" t="str">
        <f>KT_06!$B$4</f>
        <v/>
      </c>
      <c r="G174" s="26" t="str">
        <f>KT_06!$A$34</f>
        <v/>
      </c>
      <c r="H174" s="15" t="str">
        <f>KT_06!$B$34</f>
        <v/>
      </c>
      <c r="I174" s="30" t="str">
        <f>KT_06!$K$34</f>
        <v/>
      </c>
    </row>
    <row r="175" ht="15.75" customHeight="1">
      <c r="A175" s="26"/>
      <c r="B175" s="26"/>
      <c r="C175" s="26"/>
      <c r="D175" s="29"/>
      <c r="E175" s="26"/>
      <c r="F175" s="26" t="str">
        <f>KT_06!$B$4</f>
        <v/>
      </c>
      <c r="G175" s="26" t="str">
        <f>KT_06!$A$35</f>
        <v/>
      </c>
      <c r="H175" s="15" t="str">
        <f>KT_06!$B$35</f>
        <v/>
      </c>
      <c r="I175" s="30" t="str">
        <f>KT_06!$K$35</f>
        <v/>
      </c>
    </row>
    <row r="176" ht="15.75" customHeight="1">
      <c r="A176" s="26"/>
      <c r="B176" s="26"/>
      <c r="C176" s="26"/>
      <c r="D176" s="29"/>
      <c r="E176" s="26"/>
      <c r="F176" s="26" t="str">
        <f>KT_06!$B$4</f>
        <v/>
      </c>
      <c r="G176" s="26" t="str">
        <f>KT_06!$A$36</f>
        <v/>
      </c>
      <c r="H176" s="15" t="str">
        <f>KT_06!$B$36</f>
        <v/>
      </c>
      <c r="I176" s="30" t="str">
        <f>KT_06!$K$36</f>
        <v/>
      </c>
    </row>
    <row r="177" ht="15.75" customHeight="1">
      <c r="A177" s="26"/>
      <c r="B177" s="26"/>
      <c r="C177" s="26"/>
      <c r="D177" s="29"/>
      <c r="E177" s="26"/>
      <c r="F177" s="26" t="str">
        <f>KT_06!$B$4</f>
        <v/>
      </c>
      <c r="G177" s="26" t="str">
        <f>KT_06!$A$37</f>
        <v/>
      </c>
      <c r="H177" s="15" t="str">
        <f>KT_06!$B$37</f>
        <v/>
      </c>
      <c r="I177" s="30" t="str">
        <f>KT_06!$K$37</f>
        <v/>
      </c>
    </row>
    <row r="178" ht="15.75" customHeight="1">
      <c r="A178" s="26"/>
      <c r="B178" s="26"/>
      <c r="C178" s="26"/>
      <c r="D178" s="29"/>
      <c r="E178" s="26"/>
      <c r="F178" s="26" t="str">
        <f>KT_06!$B$4</f>
        <v/>
      </c>
      <c r="G178" s="26" t="str">
        <f>KT_06!$A$38</f>
        <v/>
      </c>
      <c r="H178" s="15" t="str">
        <f>KT_06!$B$38</f>
        <v/>
      </c>
      <c r="I178" s="30" t="str">
        <f>KT_06!$K$38</f>
        <v/>
      </c>
    </row>
    <row r="179" ht="15.75" customHeight="1">
      <c r="A179" s="26"/>
      <c r="B179" s="26"/>
      <c r="C179" s="26"/>
      <c r="D179" s="29"/>
      <c r="E179" s="26"/>
      <c r="F179" s="26" t="str">
        <f>KT_06!$B$4</f>
        <v/>
      </c>
      <c r="G179" s="26" t="str">
        <f>KT_06!$A$39</f>
        <v/>
      </c>
      <c r="H179" s="15" t="str">
        <f>KT_06!$B$39</f>
        <v/>
      </c>
      <c r="I179" s="30" t="str">
        <f>KT_06!$K$39</f>
        <v/>
      </c>
    </row>
    <row r="180" ht="15.75" customHeight="1">
      <c r="A180" s="26"/>
      <c r="B180" s="26"/>
      <c r="C180" s="26"/>
      <c r="D180" s="29"/>
      <c r="E180" s="26"/>
      <c r="F180" s="26" t="str">
        <f>KT_06!$B$4</f>
        <v/>
      </c>
      <c r="G180" s="26" t="str">
        <f>KT_06!$A$40</f>
        <v/>
      </c>
      <c r="H180" s="15" t="str">
        <f>KT_06!$B$40</f>
        <v/>
      </c>
      <c r="I180" s="30" t="str">
        <f>KT_06!$K$40</f>
        <v/>
      </c>
    </row>
    <row r="181" ht="15.75" customHeight="1">
      <c r="A181" s="26"/>
      <c r="B181" s="26"/>
      <c r="C181" s="26"/>
      <c r="D181" s="29"/>
      <c r="E181" s="26"/>
      <c r="F181" s="26" t="str">
        <f>KT_06!$B$4</f>
        <v/>
      </c>
      <c r="G181" s="26" t="str">
        <f>KT_06!$A$41</f>
        <v/>
      </c>
      <c r="H181" s="15" t="str">
        <f>KT_06!$B$41</f>
        <v/>
      </c>
      <c r="I181" s="30" t="str">
        <f>KT_06!$K$41</f>
        <v/>
      </c>
    </row>
    <row r="182" ht="15.75" customHeight="1">
      <c r="A182" s="26"/>
      <c r="B182" s="26"/>
      <c r="C182" s="26"/>
      <c r="D182" s="29"/>
      <c r="E182" s="26"/>
      <c r="F182" s="26" t="str">
        <f>KT_06!$B$4</f>
        <v/>
      </c>
      <c r="G182" s="26" t="str">
        <f>KT_06!$A$42</f>
        <v/>
      </c>
      <c r="H182" s="15" t="str">
        <f>KT_06!$B$42</f>
        <v/>
      </c>
      <c r="I182" s="30" t="str">
        <f>KT_06!$K$42</f>
        <v/>
      </c>
    </row>
    <row r="183" ht="15.75" customHeight="1">
      <c r="A183" s="26"/>
      <c r="B183" s="26"/>
      <c r="C183" s="26"/>
      <c r="D183" s="29"/>
      <c r="E183" s="26"/>
      <c r="F183" s="26" t="str">
        <f>KT_06!$B$4</f>
        <v/>
      </c>
      <c r="G183" s="26" t="str">
        <f>KT_06!$A$43</f>
        <v/>
      </c>
      <c r="H183" s="15" t="str">
        <f>KT_06!$B$43</f>
        <v/>
      </c>
      <c r="I183" s="30" t="str">
        <f>KT_06!$K$43</f>
        <v/>
      </c>
    </row>
    <row r="184" ht="15.75" customHeight="1">
      <c r="A184" s="26"/>
      <c r="B184" s="26"/>
      <c r="C184" s="26"/>
      <c r="D184" s="29"/>
      <c r="E184" s="26"/>
      <c r="F184" s="26" t="str">
        <f>KT_07!$B$4</f>
        <v/>
      </c>
      <c r="G184" s="26" t="str">
        <f>KT_07!$A$14</f>
        <v/>
      </c>
      <c r="H184" s="15" t="str">
        <f>KT_07!$B$14</f>
        <v/>
      </c>
      <c r="I184" s="30" t="str">
        <f>KT_07!$K$14</f>
        <v/>
      </c>
    </row>
    <row r="185" ht="15.75" customHeight="1">
      <c r="A185" s="26"/>
      <c r="B185" s="26"/>
      <c r="C185" s="26"/>
      <c r="D185" s="29"/>
      <c r="E185" s="26"/>
      <c r="F185" s="26" t="str">
        <f>KT_07!$B$4</f>
        <v/>
      </c>
      <c r="G185" s="26" t="str">
        <f>KT_07!$A$15</f>
        <v/>
      </c>
      <c r="H185" s="15" t="str">
        <f>KT_07!$B$15</f>
        <v/>
      </c>
      <c r="I185" s="30" t="str">
        <f>KT_07!$K$15</f>
        <v/>
      </c>
    </row>
    <row r="186" ht="15.75" customHeight="1">
      <c r="A186" s="26"/>
      <c r="B186" s="26"/>
      <c r="C186" s="26"/>
      <c r="D186" s="29"/>
      <c r="E186" s="26"/>
      <c r="F186" s="26" t="str">
        <f>KT_07!$B$4</f>
        <v/>
      </c>
      <c r="G186" s="26" t="str">
        <f>KT_07!$A$16</f>
        <v/>
      </c>
      <c r="H186" s="15" t="str">
        <f>KT_07!$B$16</f>
        <v/>
      </c>
      <c r="I186" s="30" t="str">
        <f>KT_07!$K$16</f>
        <v/>
      </c>
    </row>
    <row r="187" ht="15.75" customHeight="1">
      <c r="A187" s="26"/>
      <c r="B187" s="26"/>
      <c r="C187" s="26"/>
      <c r="D187" s="29"/>
      <c r="E187" s="26"/>
      <c r="F187" s="26" t="str">
        <f>KT_07!$B$4</f>
        <v/>
      </c>
      <c r="G187" s="26" t="str">
        <f>KT_07!$A$17</f>
        <v/>
      </c>
      <c r="H187" s="15" t="str">
        <f>KT_07!$B$17</f>
        <v/>
      </c>
      <c r="I187" s="30" t="str">
        <f>KT_07!$K$17</f>
        <v/>
      </c>
    </row>
    <row r="188" ht="15.75" customHeight="1">
      <c r="A188" s="26"/>
      <c r="B188" s="26"/>
      <c r="C188" s="26"/>
      <c r="D188" s="29"/>
      <c r="E188" s="26"/>
      <c r="F188" s="26" t="str">
        <f>KT_07!$B$4</f>
        <v/>
      </c>
      <c r="G188" s="26" t="str">
        <f>KT_07!$A$18</f>
        <v/>
      </c>
      <c r="H188" s="15" t="str">
        <f>KT_07!$B$18</f>
        <v/>
      </c>
      <c r="I188" s="30" t="str">
        <f>KT_07!$K$18</f>
        <v/>
      </c>
    </row>
    <row r="189" ht="15.75" customHeight="1">
      <c r="A189" s="26"/>
      <c r="B189" s="26"/>
      <c r="C189" s="26"/>
      <c r="D189" s="29"/>
      <c r="E189" s="26"/>
      <c r="F189" s="26" t="str">
        <f>KT_07!$B$4</f>
        <v/>
      </c>
      <c r="G189" s="26" t="str">
        <f>KT_07!$A$19</f>
        <v/>
      </c>
      <c r="H189" s="15" t="str">
        <f>KT_07!$B$19</f>
        <v/>
      </c>
      <c r="I189" s="30" t="str">
        <f>KT_07!$K$19</f>
        <v/>
      </c>
    </row>
    <row r="190" ht="15.75" customHeight="1">
      <c r="A190" s="26"/>
      <c r="B190" s="26"/>
      <c r="C190" s="26"/>
      <c r="D190" s="29"/>
      <c r="E190" s="26"/>
      <c r="F190" s="26" t="str">
        <f>KT_07!$B$4</f>
        <v/>
      </c>
      <c r="G190" s="26" t="str">
        <f>KT_07!$A$20</f>
        <v/>
      </c>
      <c r="H190" s="15" t="str">
        <f>KT_07!$B$20</f>
        <v/>
      </c>
      <c r="I190" s="30" t="str">
        <f>KT_07!$K$20</f>
        <v/>
      </c>
    </row>
    <row r="191" ht="15.75" customHeight="1">
      <c r="A191" s="26"/>
      <c r="B191" s="26"/>
      <c r="C191" s="26"/>
      <c r="D191" s="29"/>
      <c r="E191" s="26"/>
      <c r="F191" s="26" t="str">
        <f>KT_07!$B$4</f>
        <v/>
      </c>
      <c r="G191" s="26" t="str">
        <f>KT_07!$A$21</f>
        <v/>
      </c>
      <c r="H191" s="15" t="str">
        <f>KT_07!$B$21</f>
        <v/>
      </c>
      <c r="I191" s="30" t="str">
        <f>KT_07!$K$21</f>
        <v/>
      </c>
    </row>
    <row r="192" ht="15.75" customHeight="1">
      <c r="A192" s="26"/>
      <c r="B192" s="26"/>
      <c r="C192" s="26"/>
      <c r="D192" s="29"/>
      <c r="E192" s="26"/>
      <c r="F192" s="26" t="str">
        <f>KT_07!$B$4</f>
        <v/>
      </c>
      <c r="G192" s="26" t="str">
        <f>KT_07!$A$22</f>
        <v/>
      </c>
      <c r="H192" s="15" t="str">
        <f>KT_07!$B$22</f>
        <v/>
      </c>
      <c r="I192" s="30" t="str">
        <f>KT_07!$K$22</f>
        <v/>
      </c>
    </row>
    <row r="193" ht="15.75" customHeight="1">
      <c r="A193" s="26"/>
      <c r="B193" s="26"/>
      <c r="C193" s="26"/>
      <c r="D193" s="29"/>
      <c r="E193" s="26"/>
      <c r="F193" s="26" t="str">
        <f>KT_07!$B$4</f>
        <v/>
      </c>
      <c r="G193" s="26" t="str">
        <f>KT_07!$A$23</f>
        <v/>
      </c>
      <c r="H193" s="15" t="str">
        <f>KT_07!$B$23</f>
        <v/>
      </c>
      <c r="I193" s="30" t="str">
        <f>KT_07!$K$23</f>
        <v/>
      </c>
    </row>
    <row r="194" ht="15.75" customHeight="1">
      <c r="A194" s="26"/>
      <c r="B194" s="26"/>
      <c r="C194" s="26"/>
      <c r="D194" s="29"/>
      <c r="E194" s="26"/>
      <c r="F194" s="26" t="str">
        <f>KT_07!$B$4</f>
        <v/>
      </c>
      <c r="G194" s="26" t="str">
        <f>KT_07!$A$24</f>
        <v/>
      </c>
      <c r="H194" s="15" t="str">
        <f>KT_07!$B$24</f>
        <v/>
      </c>
      <c r="I194" s="30" t="str">
        <f>KT_07!$K$24</f>
        <v/>
      </c>
    </row>
    <row r="195" ht="15.75" customHeight="1">
      <c r="A195" s="26"/>
      <c r="B195" s="26"/>
      <c r="C195" s="26"/>
      <c r="D195" s="29"/>
      <c r="E195" s="26"/>
      <c r="F195" s="26" t="str">
        <f>KT_07!$B$4</f>
        <v/>
      </c>
      <c r="G195" s="26" t="str">
        <f>KT_07!$A$25</f>
        <v/>
      </c>
      <c r="H195" s="15" t="str">
        <f>KT_07!$B$25</f>
        <v/>
      </c>
      <c r="I195" s="30" t="str">
        <f>KT_07!$K$25</f>
        <v/>
      </c>
    </row>
    <row r="196" ht="15.75" customHeight="1">
      <c r="A196" s="26"/>
      <c r="B196" s="26"/>
      <c r="C196" s="26"/>
      <c r="D196" s="29"/>
      <c r="E196" s="26"/>
      <c r="F196" s="26" t="str">
        <f>KT_07!$B$4</f>
        <v/>
      </c>
      <c r="G196" s="26" t="str">
        <f>KT_07!$A$26</f>
        <v/>
      </c>
      <c r="H196" s="15" t="str">
        <f>KT_07!$B$26</f>
        <v/>
      </c>
      <c r="I196" s="30" t="str">
        <f>KT_07!$K$26</f>
        <v/>
      </c>
    </row>
    <row r="197" ht="15.75" customHeight="1">
      <c r="A197" s="26"/>
      <c r="B197" s="26"/>
      <c r="C197" s="26"/>
      <c r="D197" s="29"/>
      <c r="E197" s="26"/>
      <c r="F197" s="26" t="str">
        <f>KT_07!$B$4</f>
        <v/>
      </c>
      <c r="G197" s="26" t="str">
        <f>KT_07!$A$27</f>
        <v/>
      </c>
      <c r="H197" s="15" t="str">
        <f>KT_07!$B$27</f>
        <v/>
      </c>
      <c r="I197" s="30" t="str">
        <f>KT_07!$K$27</f>
        <v/>
      </c>
    </row>
    <row r="198" ht="15.75" customHeight="1">
      <c r="A198" s="26"/>
      <c r="B198" s="26"/>
      <c r="C198" s="26"/>
      <c r="D198" s="29"/>
      <c r="E198" s="26"/>
      <c r="F198" s="26" t="str">
        <f>KT_07!$B$4</f>
        <v/>
      </c>
      <c r="G198" s="26" t="str">
        <f>KT_07!$A$28</f>
        <v/>
      </c>
      <c r="H198" s="15" t="str">
        <f>KT_07!$B$28</f>
        <v/>
      </c>
      <c r="I198" s="30" t="str">
        <f>KT_07!$K$28</f>
        <v/>
      </c>
    </row>
    <row r="199" ht="15.75" customHeight="1">
      <c r="A199" s="26"/>
      <c r="B199" s="26"/>
      <c r="C199" s="26"/>
      <c r="D199" s="29"/>
      <c r="E199" s="26"/>
      <c r="F199" s="26" t="str">
        <f>KT_07!$B$4</f>
        <v/>
      </c>
      <c r="G199" s="26" t="str">
        <f>KT_07!$A$29</f>
        <v/>
      </c>
      <c r="H199" s="15" t="str">
        <f>KT_07!$B$29</f>
        <v/>
      </c>
      <c r="I199" s="30" t="str">
        <f>KT_07!$K$29</f>
        <v/>
      </c>
    </row>
    <row r="200" ht="15.75" customHeight="1">
      <c r="A200" s="26"/>
      <c r="B200" s="26"/>
      <c r="C200" s="26"/>
      <c r="D200" s="29"/>
      <c r="E200" s="26"/>
      <c r="F200" s="26" t="str">
        <f>KT_07!$B$4</f>
        <v/>
      </c>
      <c r="G200" s="26" t="str">
        <f>KT_07!$A$30</f>
        <v/>
      </c>
      <c r="H200" s="15" t="str">
        <f>KT_07!$B$30</f>
        <v/>
      </c>
      <c r="I200" s="30" t="str">
        <f>KT_07!$K$30</f>
        <v/>
      </c>
    </row>
    <row r="201" ht="15.75" customHeight="1">
      <c r="A201" s="26"/>
      <c r="B201" s="26"/>
      <c r="C201" s="26"/>
      <c r="D201" s="29"/>
      <c r="E201" s="26"/>
      <c r="F201" s="26" t="str">
        <f>KT_07!$B$4</f>
        <v/>
      </c>
      <c r="G201" s="26" t="str">
        <f>KT_07!$A$31</f>
        <v/>
      </c>
      <c r="H201" s="15" t="str">
        <f>KT_07!$B$31</f>
        <v/>
      </c>
      <c r="I201" s="30" t="str">
        <f>KT_07!$K$31</f>
        <v/>
      </c>
    </row>
    <row r="202" ht="15.75" customHeight="1">
      <c r="A202" s="26"/>
      <c r="B202" s="26"/>
      <c r="C202" s="26"/>
      <c r="D202" s="29"/>
      <c r="E202" s="26"/>
      <c r="F202" s="26" t="str">
        <f>KT_07!$B$4</f>
        <v/>
      </c>
      <c r="G202" s="26" t="str">
        <f>KT_07!$A$32</f>
        <v/>
      </c>
      <c r="H202" s="15" t="str">
        <f>KT_07!$B$32</f>
        <v/>
      </c>
      <c r="I202" s="30" t="str">
        <f>KT_07!$K$32</f>
        <v/>
      </c>
    </row>
    <row r="203" ht="15.75" customHeight="1">
      <c r="A203" s="26"/>
      <c r="B203" s="26"/>
      <c r="C203" s="26"/>
      <c r="D203" s="29"/>
      <c r="E203" s="26"/>
      <c r="F203" s="26" t="str">
        <f>KT_07!$B$4</f>
        <v/>
      </c>
      <c r="G203" s="26" t="str">
        <f>KT_07!$A$33</f>
        <v/>
      </c>
      <c r="H203" s="15" t="str">
        <f>KT_07!$B$33</f>
        <v/>
      </c>
      <c r="I203" s="30" t="str">
        <f>KT_07!$K$33</f>
        <v/>
      </c>
    </row>
    <row r="204" ht="15.75" customHeight="1">
      <c r="A204" s="26"/>
      <c r="B204" s="26"/>
      <c r="C204" s="26"/>
      <c r="D204" s="29"/>
      <c r="E204" s="26"/>
      <c r="F204" s="26" t="str">
        <f>KT_07!$B$4</f>
        <v/>
      </c>
      <c r="G204" s="26" t="str">
        <f>KT_07!$A$34</f>
        <v/>
      </c>
      <c r="H204" s="15" t="str">
        <f>KT_07!$B$34</f>
        <v/>
      </c>
      <c r="I204" s="30" t="str">
        <f>KT_07!$K$34</f>
        <v/>
      </c>
    </row>
    <row r="205" ht="15.75" customHeight="1">
      <c r="A205" s="26"/>
      <c r="B205" s="26"/>
      <c r="C205" s="26"/>
      <c r="D205" s="29"/>
      <c r="E205" s="26"/>
      <c r="F205" s="26" t="str">
        <f>KT_07!$B$4</f>
        <v/>
      </c>
      <c r="G205" s="26" t="str">
        <f>KT_07!$A$35</f>
        <v/>
      </c>
      <c r="H205" s="15" t="str">
        <f>KT_07!$B$35</f>
        <v/>
      </c>
      <c r="I205" s="30" t="str">
        <f>KT_07!$K$35</f>
        <v/>
      </c>
    </row>
    <row r="206" ht="15.75" customHeight="1">
      <c r="A206" s="26"/>
      <c r="B206" s="26"/>
      <c r="C206" s="26"/>
      <c r="D206" s="29"/>
      <c r="E206" s="26"/>
      <c r="F206" s="26" t="str">
        <f>KT_07!$B$4</f>
        <v/>
      </c>
      <c r="G206" s="26" t="str">
        <f>KT_07!$A$36</f>
        <v/>
      </c>
      <c r="H206" s="15" t="str">
        <f>KT_07!$B$36</f>
        <v/>
      </c>
      <c r="I206" s="30" t="str">
        <f>KT_07!$K$36</f>
        <v/>
      </c>
    </row>
    <row r="207" ht="15.75" customHeight="1">
      <c r="A207" s="26"/>
      <c r="B207" s="26"/>
      <c r="C207" s="26"/>
      <c r="D207" s="29"/>
      <c r="E207" s="26"/>
      <c r="F207" s="26" t="str">
        <f>KT_07!$B$4</f>
        <v/>
      </c>
      <c r="G207" s="26" t="str">
        <f>KT_07!$A$37</f>
        <v/>
      </c>
      <c r="H207" s="15" t="str">
        <f>KT_07!$B$37</f>
        <v/>
      </c>
      <c r="I207" s="30" t="str">
        <f>KT_07!$K$37</f>
        <v/>
      </c>
    </row>
    <row r="208" ht="15.75" customHeight="1">
      <c r="A208" s="26"/>
      <c r="B208" s="26"/>
      <c r="C208" s="26"/>
      <c r="D208" s="29"/>
      <c r="E208" s="26"/>
      <c r="F208" s="26" t="str">
        <f>KT_07!$B$4</f>
        <v/>
      </c>
      <c r="G208" s="26" t="str">
        <f>KT_07!$A$38</f>
        <v/>
      </c>
      <c r="H208" s="15" t="str">
        <f>KT_07!$B$38</f>
        <v/>
      </c>
      <c r="I208" s="30" t="str">
        <f>KT_07!$K$38</f>
        <v/>
      </c>
    </row>
    <row r="209" ht="15.75" customHeight="1">
      <c r="A209" s="26"/>
      <c r="B209" s="26"/>
      <c r="C209" s="26"/>
      <c r="D209" s="29"/>
      <c r="E209" s="26"/>
      <c r="F209" s="26" t="str">
        <f>KT_07!$B$4</f>
        <v/>
      </c>
      <c r="G209" s="26" t="str">
        <f>KT_07!$A$39</f>
        <v/>
      </c>
      <c r="H209" s="15" t="str">
        <f>KT_07!$B$39</f>
        <v/>
      </c>
      <c r="I209" s="30" t="str">
        <f>KT_07!$K$39</f>
        <v/>
      </c>
    </row>
    <row r="210" ht="15.75" customHeight="1">
      <c r="A210" s="26"/>
      <c r="B210" s="26"/>
      <c r="C210" s="26"/>
      <c r="D210" s="29"/>
      <c r="E210" s="26"/>
      <c r="F210" s="26" t="str">
        <f>KT_07!$B$4</f>
        <v/>
      </c>
      <c r="G210" s="26" t="str">
        <f>KT_07!$A$40</f>
        <v/>
      </c>
      <c r="H210" s="15" t="str">
        <f>KT_07!$B$40</f>
        <v/>
      </c>
      <c r="I210" s="30" t="str">
        <f>KT_07!$K$40</f>
        <v/>
      </c>
    </row>
    <row r="211" ht="15.75" customHeight="1">
      <c r="A211" s="26"/>
      <c r="B211" s="26"/>
      <c r="C211" s="26"/>
      <c r="D211" s="29"/>
      <c r="E211" s="26"/>
      <c r="F211" s="26" t="str">
        <f>KT_07!$B$4</f>
        <v/>
      </c>
      <c r="G211" s="26" t="str">
        <f>KT_07!$A$41</f>
        <v/>
      </c>
      <c r="H211" s="15" t="str">
        <f>KT_07!$B$41</f>
        <v/>
      </c>
      <c r="I211" s="30" t="str">
        <f>KT_07!$K$41</f>
        <v/>
      </c>
    </row>
    <row r="212" ht="15.75" customHeight="1">
      <c r="A212" s="26"/>
      <c r="B212" s="26"/>
      <c r="C212" s="26"/>
      <c r="D212" s="29"/>
      <c r="E212" s="26"/>
      <c r="F212" s="26" t="str">
        <f>KT_07!$B$4</f>
        <v/>
      </c>
      <c r="G212" s="26" t="str">
        <f>KT_07!$A$42</f>
        <v/>
      </c>
      <c r="H212" s="15" t="str">
        <f>KT_07!$B$42</f>
        <v/>
      </c>
      <c r="I212" s="30" t="str">
        <f>KT_07!$K$42</f>
        <v/>
      </c>
    </row>
    <row r="213" ht="15.75" customHeight="1">
      <c r="A213" s="26"/>
      <c r="B213" s="26"/>
      <c r="C213" s="26"/>
      <c r="D213" s="29"/>
      <c r="E213" s="26"/>
      <c r="F213" s="26" t="str">
        <f>KT_07!$B$4</f>
        <v/>
      </c>
      <c r="G213" s="26" t="str">
        <f>KT_07!$A$43</f>
        <v/>
      </c>
      <c r="H213" s="15" t="str">
        <f>KT_07!$B$43</f>
        <v/>
      </c>
      <c r="I213" s="30" t="str">
        <f>KT_07!$K$43</f>
        <v/>
      </c>
    </row>
    <row r="214" ht="15.75" customHeight="1">
      <c r="A214" s="26"/>
      <c r="B214" s="26"/>
      <c r="C214" s="26"/>
      <c r="D214" s="29"/>
      <c r="E214" s="26"/>
      <c r="F214" s="26" t="str">
        <f>KT_08!$B$4</f>
        <v/>
      </c>
      <c r="G214" s="26" t="str">
        <f>KT_08!$A$14</f>
        <v/>
      </c>
      <c r="H214" s="15" t="str">
        <f>KT_08!$B$14</f>
        <v/>
      </c>
      <c r="I214" s="30" t="str">
        <f>KT_08!$K$14</f>
        <v/>
      </c>
    </row>
    <row r="215" ht="15.75" customHeight="1">
      <c r="A215" s="26"/>
      <c r="B215" s="26"/>
      <c r="C215" s="26"/>
      <c r="D215" s="29"/>
      <c r="E215" s="26"/>
      <c r="F215" s="26" t="str">
        <f>KT_08!$B$4</f>
        <v/>
      </c>
      <c r="G215" s="26" t="str">
        <f>KT_08!$A$15</f>
        <v/>
      </c>
      <c r="H215" s="15" t="str">
        <f>KT_08!$B$15</f>
        <v/>
      </c>
      <c r="I215" s="30" t="str">
        <f>KT_08!$K$15</f>
        <v/>
      </c>
    </row>
    <row r="216" ht="15.75" customHeight="1">
      <c r="A216" s="26"/>
      <c r="B216" s="26"/>
      <c r="C216" s="26"/>
      <c r="D216" s="29"/>
      <c r="E216" s="26"/>
      <c r="F216" s="26" t="str">
        <f>KT_08!$B$4</f>
        <v/>
      </c>
      <c r="G216" s="26" t="str">
        <f>KT_08!$A$16</f>
        <v/>
      </c>
      <c r="H216" s="15" t="str">
        <f>KT_08!$B$16</f>
        <v/>
      </c>
      <c r="I216" s="30" t="str">
        <f>KT_08!$K$16</f>
        <v/>
      </c>
    </row>
    <row r="217" ht="15.75" customHeight="1">
      <c r="A217" s="26"/>
      <c r="B217" s="26"/>
      <c r="C217" s="26"/>
      <c r="D217" s="29"/>
      <c r="E217" s="26"/>
      <c r="F217" s="26" t="str">
        <f>KT_08!$B$4</f>
        <v/>
      </c>
      <c r="G217" s="26" t="str">
        <f>KT_08!$A$17</f>
        <v/>
      </c>
      <c r="H217" s="15" t="str">
        <f>KT_08!$B$17</f>
        <v/>
      </c>
      <c r="I217" s="30" t="str">
        <f>KT_08!$K$17</f>
        <v/>
      </c>
    </row>
    <row r="218" ht="15.75" customHeight="1">
      <c r="A218" s="26"/>
      <c r="B218" s="26"/>
      <c r="C218" s="26"/>
      <c r="D218" s="29"/>
      <c r="E218" s="26"/>
      <c r="F218" s="26" t="str">
        <f>KT_08!$B$4</f>
        <v/>
      </c>
      <c r="G218" s="26" t="str">
        <f>KT_08!$A$18</f>
        <v/>
      </c>
      <c r="H218" s="15" t="str">
        <f>KT_08!$B$18</f>
        <v/>
      </c>
      <c r="I218" s="30" t="str">
        <f>KT_08!$K$18</f>
        <v/>
      </c>
    </row>
    <row r="219" ht="15.75" customHeight="1">
      <c r="A219" s="26"/>
      <c r="B219" s="26"/>
      <c r="C219" s="26"/>
      <c r="D219" s="29"/>
      <c r="E219" s="26"/>
      <c r="F219" s="26" t="str">
        <f>KT_08!$B$4</f>
        <v/>
      </c>
      <c r="G219" s="26" t="str">
        <f>KT_08!$A$19</f>
        <v/>
      </c>
      <c r="H219" s="15" t="str">
        <f>KT_08!$B$19</f>
        <v/>
      </c>
      <c r="I219" s="30" t="str">
        <f>KT_08!$K$19</f>
        <v/>
      </c>
    </row>
    <row r="220" ht="15.75" customHeight="1">
      <c r="A220" s="26"/>
      <c r="B220" s="26"/>
      <c r="C220" s="26"/>
      <c r="D220" s="29"/>
      <c r="E220" s="26"/>
      <c r="F220" s="26" t="str">
        <f>KT_08!$B$4</f>
        <v/>
      </c>
      <c r="G220" s="26" t="str">
        <f>KT_08!$A$20</f>
        <v/>
      </c>
      <c r="H220" s="15" t="str">
        <f>KT_08!$B$20</f>
        <v/>
      </c>
      <c r="I220" s="30" t="str">
        <f>KT_08!$K$20</f>
        <v/>
      </c>
    </row>
    <row r="221" ht="15.75" customHeight="1">
      <c r="A221" s="26"/>
      <c r="B221" s="26"/>
      <c r="C221" s="26"/>
      <c r="D221" s="29"/>
      <c r="E221" s="26"/>
      <c r="F221" s="26" t="str">
        <f>KT_08!$B$4</f>
        <v/>
      </c>
      <c r="G221" s="26" t="str">
        <f>KT_08!$A$21</f>
        <v/>
      </c>
      <c r="H221" s="15" t="str">
        <f>KT_08!$B$21</f>
        <v/>
      </c>
      <c r="I221" s="30" t="str">
        <f>KT_08!$K$21</f>
        <v/>
      </c>
    </row>
    <row r="222" ht="15.75" customHeight="1">
      <c r="A222" s="26"/>
      <c r="B222" s="26"/>
      <c r="C222" s="26"/>
      <c r="D222" s="29"/>
      <c r="E222" s="26"/>
      <c r="F222" s="26" t="str">
        <f>KT_08!$B$4</f>
        <v/>
      </c>
      <c r="G222" s="26" t="str">
        <f>KT_08!$A$22</f>
        <v/>
      </c>
      <c r="H222" s="15" t="str">
        <f>KT_08!$B$22</f>
        <v/>
      </c>
      <c r="I222" s="30" t="str">
        <f>KT_08!$K$22</f>
        <v/>
      </c>
    </row>
    <row r="223" ht="15.75" customHeight="1">
      <c r="A223" s="26"/>
      <c r="B223" s="26"/>
      <c r="C223" s="26"/>
      <c r="D223" s="29"/>
      <c r="E223" s="26"/>
      <c r="F223" s="26" t="str">
        <f>KT_08!$B$4</f>
        <v/>
      </c>
      <c r="G223" s="26" t="str">
        <f>KT_08!$A$23</f>
        <v/>
      </c>
      <c r="H223" s="15" t="str">
        <f>KT_08!$B$23</f>
        <v/>
      </c>
      <c r="I223" s="30" t="str">
        <f>KT_08!$K$23</f>
        <v/>
      </c>
    </row>
    <row r="224" ht="15.75" customHeight="1">
      <c r="A224" s="26"/>
      <c r="B224" s="26"/>
      <c r="C224" s="26"/>
      <c r="D224" s="29"/>
      <c r="E224" s="26"/>
      <c r="F224" s="26" t="str">
        <f>KT_08!$B$4</f>
        <v/>
      </c>
      <c r="G224" s="26" t="str">
        <f>KT_08!$A$24</f>
        <v/>
      </c>
      <c r="H224" s="15" t="str">
        <f>KT_08!$B$24</f>
        <v/>
      </c>
      <c r="I224" s="30" t="str">
        <f>KT_08!$K$24</f>
        <v/>
      </c>
    </row>
    <row r="225" ht="15.75" customHeight="1">
      <c r="A225" s="26"/>
      <c r="B225" s="26"/>
      <c r="C225" s="26"/>
      <c r="D225" s="29"/>
      <c r="E225" s="26"/>
      <c r="F225" s="26" t="str">
        <f>KT_08!$B$4</f>
        <v/>
      </c>
      <c r="G225" s="26" t="str">
        <f>KT_08!$A$25</f>
        <v/>
      </c>
      <c r="H225" s="15" t="str">
        <f>KT_08!$B$25</f>
        <v/>
      </c>
      <c r="I225" s="30" t="str">
        <f>KT_08!$K$25</f>
        <v/>
      </c>
    </row>
    <row r="226" ht="15.75" customHeight="1">
      <c r="A226" s="26"/>
      <c r="B226" s="26"/>
      <c r="C226" s="26"/>
      <c r="D226" s="29"/>
      <c r="E226" s="26"/>
      <c r="F226" s="26" t="str">
        <f>KT_08!$B$4</f>
        <v/>
      </c>
      <c r="G226" s="26" t="str">
        <f>KT_08!$A$26</f>
        <v/>
      </c>
      <c r="H226" s="15" t="str">
        <f>KT_08!$B$26</f>
        <v/>
      </c>
      <c r="I226" s="30" t="str">
        <f>KT_08!$K$26</f>
        <v/>
      </c>
    </row>
    <row r="227" ht="15.75" customHeight="1">
      <c r="A227" s="26"/>
      <c r="B227" s="26"/>
      <c r="C227" s="26"/>
      <c r="D227" s="29"/>
      <c r="E227" s="26"/>
      <c r="F227" s="26" t="str">
        <f>KT_08!$B$4</f>
        <v/>
      </c>
      <c r="G227" s="26" t="str">
        <f>KT_08!$A$27</f>
        <v/>
      </c>
      <c r="H227" s="15" t="str">
        <f>KT_08!$B$27</f>
        <v/>
      </c>
      <c r="I227" s="30" t="str">
        <f>KT_08!$K$27</f>
        <v/>
      </c>
    </row>
    <row r="228" ht="15.75" customHeight="1">
      <c r="A228" s="26"/>
      <c r="B228" s="26"/>
      <c r="C228" s="26"/>
      <c r="D228" s="29"/>
      <c r="E228" s="26"/>
      <c r="F228" s="26" t="str">
        <f>KT_08!$B$4</f>
        <v/>
      </c>
      <c r="G228" s="26" t="str">
        <f>KT_08!$A$28</f>
        <v/>
      </c>
      <c r="H228" s="15" t="str">
        <f>KT_08!$B$28</f>
        <v/>
      </c>
      <c r="I228" s="30" t="str">
        <f>KT_08!$K$28</f>
        <v/>
      </c>
    </row>
    <row r="229" ht="15.75" customHeight="1">
      <c r="A229" s="26"/>
      <c r="B229" s="26"/>
      <c r="C229" s="26"/>
      <c r="D229" s="29"/>
      <c r="E229" s="26"/>
      <c r="F229" s="26" t="str">
        <f>KT_08!$B$4</f>
        <v/>
      </c>
      <c r="G229" s="26" t="str">
        <f>KT_08!$A$29</f>
        <v/>
      </c>
      <c r="H229" s="15" t="str">
        <f>KT_08!$B$29</f>
        <v/>
      </c>
      <c r="I229" s="30" t="str">
        <f>KT_08!$K$29</f>
        <v/>
      </c>
    </row>
    <row r="230" ht="15.75" customHeight="1">
      <c r="A230" s="26"/>
      <c r="B230" s="26"/>
      <c r="C230" s="26"/>
      <c r="D230" s="29"/>
      <c r="E230" s="26"/>
      <c r="F230" s="26" t="str">
        <f>KT_08!$B$4</f>
        <v/>
      </c>
      <c r="G230" s="26" t="str">
        <f>KT_08!$A$30</f>
        <v/>
      </c>
      <c r="H230" s="15" t="str">
        <f>KT_08!$B$30</f>
        <v/>
      </c>
      <c r="I230" s="30" t="str">
        <f>KT_08!$K$30</f>
        <v/>
      </c>
    </row>
    <row r="231" ht="15.75" customHeight="1">
      <c r="A231" s="26"/>
      <c r="B231" s="26"/>
      <c r="C231" s="26"/>
      <c r="D231" s="29"/>
      <c r="E231" s="26"/>
      <c r="F231" s="26" t="str">
        <f>KT_08!$B$4</f>
        <v/>
      </c>
      <c r="G231" s="26" t="str">
        <f>KT_08!$A$31</f>
        <v/>
      </c>
      <c r="H231" s="15" t="str">
        <f>KT_08!$B$31</f>
        <v/>
      </c>
      <c r="I231" s="30" t="str">
        <f>KT_08!$K$31</f>
        <v/>
      </c>
    </row>
    <row r="232" ht="15.75" customHeight="1">
      <c r="A232" s="26"/>
      <c r="B232" s="26"/>
      <c r="C232" s="26"/>
      <c r="D232" s="29"/>
      <c r="E232" s="26"/>
      <c r="F232" s="26" t="str">
        <f>KT_08!$B$4</f>
        <v/>
      </c>
      <c r="G232" s="26" t="str">
        <f>KT_08!$A$32</f>
        <v/>
      </c>
      <c r="H232" s="15" t="str">
        <f>KT_08!$B$32</f>
        <v/>
      </c>
      <c r="I232" s="30" t="str">
        <f>KT_08!$K$32</f>
        <v/>
      </c>
    </row>
    <row r="233" ht="15.75" customHeight="1">
      <c r="A233" s="26"/>
      <c r="B233" s="26"/>
      <c r="C233" s="26"/>
      <c r="D233" s="29"/>
      <c r="E233" s="26"/>
      <c r="F233" s="26" t="str">
        <f>KT_08!$B$4</f>
        <v/>
      </c>
      <c r="G233" s="26" t="str">
        <f>KT_08!$A$33</f>
        <v/>
      </c>
      <c r="H233" s="15" t="str">
        <f>KT_08!$B$33</f>
        <v/>
      </c>
      <c r="I233" s="30" t="str">
        <f>KT_08!$K$33</f>
        <v/>
      </c>
    </row>
    <row r="234" ht="15.75" customHeight="1">
      <c r="A234" s="26"/>
      <c r="B234" s="26"/>
      <c r="C234" s="26"/>
      <c r="D234" s="29"/>
      <c r="E234" s="26"/>
      <c r="F234" s="26" t="str">
        <f>KT_08!$B$4</f>
        <v/>
      </c>
      <c r="G234" s="26" t="str">
        <f>KT_08!$A$34</f>
        <v/>
      </c>
      <c r="H234" s="15" t="str">
        <f>KT_08!$B$34</f>
        <v/>
      </c>
      <c r="I234" s="30" t="str">
        <f>KT_08!$K$34</f>
        <v/>
      </c>
    </row>
    <row r="235" ht="15.75" customHeight="1">
      <c r="A235" s="26"/>
      <c r="B235" s="26"/>
      <c r="C235" s="26"/>
      <c r="D235" s="29"/>
      <c r="E235" s="26"/>
      <c r="F235" s="26" t="str">
        <f>KT_08!$B$4</f>
        <v/>
      </c>
      <c r="G235" s="26" t="str">
        <f>KT_08!$A$35</f>
        <v/>
      </c>
      <c r="H235" s="15" t="str">
        <f>KT_08!$B$35</f>
        <v/>
      </c>
      <c r="I235" s="30" t="str">
        <f>KT_08!$K$35</f>
        <v/>
      </c>
    </row>
    <row r="236" ht="15.75" customHeight="1">
      <c r="A236" s="26"/>
      <c r="B236" s="26"/>
      <c r="C236" s="26"/>
      <c r="D236" s="29"/>
      <c r="E236" s="26"/>
      <c r="F236" s="26" t="str">
        <f>KT_08!$B$4</f>
        <v/>
      </c>
      <c r="G236" s="26" t="str">
        <f>KT_08!$A$36</f>
        <v/>
      </c>
      <c r="H236" s="15" t="str">
        <f>KT_08!$B$36</f>
        <v/>
      </c>
      <c r="I236" s="30" t="str">
        <f>KT_08!$K$36</f>
        <v/>
      </c>
    </row>
    <row r="237" ht="15.75" customHeight="1">
      <c r="A237" s="26"/>
      <c r="B237" s="26"/>
      <c r="C237" s="26"/>
      <c r="D237" s="29"/>
      <c r="E237" s="26"/>
      <c r="F237" s="26" t="str">
        <f>KT_08!$B$4</f>
        <v/>
      </c>
      <c r="G237" s="26" t="str">
        <f>KT_08!$A$37</f>
        <v/>
      </c>
      <c r="H237" s="15" t="str">
        <f>KT_08!$B$37</f>
        <v/>
      </c>
      <c r="I237" s="30" t="str">
        <f>KT_08!$K$37</f>
        <v/>
      </c>
    </row>
    <row r="238" ht="15.75" customHeight="1">
      <c r="A238" s="26"/>
      <c r="B238" s="26"/>
      <c r="C238" s="26"/>
      <c r="D238" s="29"/>
      <c r="E238" s="26"/>
      <c r="F238" s="26" t="str">
        <f>KT_08!$B$4</f>
        <v/>
      </c>
      <c r="G238" s="26" t="str">
        <f>KT_08!$A$38</f>
        <v/>
      </c>
      <c r="H238" s="15" t="str">
        <f>KT_08!$B$38</f>
        <v/>
      </c>
      <c r="I238" s="30" t="str">
        <f>KT_08!$K$38</f>
        <v/>
      </c>
    </row>
    <row r="239" ht="15.75" customHeight="1">
      <c r="A239" s="26"/>
      <c r="B239" s="26"/>
      <c r="C239" s="26"/>
      <c r="D239" s="29"/>
      <c r="E239" s="26"/>
      <c r="F239" s="26" t="str">
        <f>KT_08!$B$4</f>
        <v/>
      </c>
      <c r="G239" s="26" t="str">
        <f>KT_08!$A$39</f>
        <v/>
      </c>
      <c r="H239" s="15" t="str">
        <f>KT_08!$B$39</f>
        <v/>
      </c>
      <c r="I239" s="30" t="str">
        <f>KT_08!$K$39</f>
        <v/>
      </c>
    </row>
    <row r="240" ht="15.75" customHeight="1">
      <c r="A240" s="26"/>
      <c r="B240" s="26"/>
      <c r="C240" s="26"/>
      <c r="D240" s="29"/>
      <c r="E240" s="26"/>
      <c r="F240" s="26" t="str">
        <f>KT_08!$B$4</f>
        <v/>
      </c>
      <c r="G240" s="26" t="str">
        <f>KT_08!$A$40</f>
        <v/>
      </c>
      <c r="H240" s="15" t="str">
        <f>KT_08!$B$40</f>
        <v/>
      </c>
      <c r="I240" s="30" t="str">
        <f>KT_08!$K$40</f>
        <v/>
      </c>
    </row>
    <row r="241" ht="15.75" customHeight="1">
      <c r="A241" s="26"/>
      <c r="B241" s="26"/>
      <c r="C241" s="26"/>
      <c r="D241" s="29"/>
      <c r="E241" s="26"/>
      <c r="F241" s="26" t="str">
        <f>KT_08!$B$4</f>
        <v/>
      </c>
      <c r="G241" s="26" t="str">
        <f>KT_08!$A$41</f>
        <v/>
      </c>
      <c r="H241" s="15" t="str">
        <f>KT_08!$B$41</f>
        <v/>
      </c>
      <c r="I241" s="30" t="str">
        <f>KT_08!$K$41</f>
        <v/>
      </c>
    </row>
    <row r="242" ht="15.75" customHeight="1">
      <c r="A242" s="26"/>
      <c r="B242" s="26"/>
      <c r="C242" s="26"/>
      <c r="D242" s="29"/>
      <c r="E242" s="26"/>
      <c r="F242" s="26" t="str">
        <f>KT_08!$B$4</f>
        <v/>
      </c>
      <c r="G242" s="26" t="str">
        <f>KT_08!$A$42</f>
        <v/>
      </c>
      <c r="H242" s="15" t="str">
        <f>KT_08!$B$42</f>
        <v/>
      </c>
      <c r="I242" s="30" t="str">
        <f>KT_08!$K$42</f>
        <v/>
      </c>
    </row>
    <row r="243" ht="15.75" customHeight="1">
      <c r="A243" s="26"/>
      <c r="B243" s="26"/>
      <c r="C243" s="26"/>
      <c r="D243" s="29"/>
      <c r="E243" s="26"/>
      <c r="F243" s="26" t="str">
        <f>KT_08!$B$4</f>
        <v/>
      </c>
      <c r="G243" s="26" t="str">
        <f>KT_08!$A$43</f>
        <v/>
      </c>
      <c r="H243" s="15" t="str">
        <f>KT_08!$B$43</f>
        <v/>
      </c>
      <c r="I243" s="30" t="str">
        <f>KT_08!$K$43</f>
        <v/>
      </c>
    </row>
    <row r="244" ht="15.75" customHeight="1">
      <c r="A244" s="26"/>
      <c r="B244" s="26"/>
      <c r="C244" s="26"/>
      <c r="D244" s="29"/>
      <c r="E244" s="26"/>
      <c r="F244" s="26" t="str">
        <f>KT_09!$B$4</f>
        <v/>
      </c>
      <c r="G244" s="26" t="str">
        <f>KT_09!$A$14</f>
        <v/>
      </c>
      <c r="H244" s="15" t="str">
        <f>KT_09!$B$14</f>
        <v/>
      </c>
      <c r="I244" s="30" t="str">
        <f>KT_09!$K$14</f>
        <v/>
      </c>
    </row>
    <row r="245" ht="15.75" customHeight="1">
      <c r="A245" s="26"/>
      <c r="B245" s="26"/>
      <c r="C245" s="26"/>
      <c r="D245" s="29"/>
      <c r="E245" s="26"/>
      <c r="F245" s="26" t="str">
        <f>KT_09!$B$4</f>
        <v/>
      </c>
      <c r="G245" s="26" t="str">
        <f>KT_09!$A$15</f>
        <v/>
      </c>
      <c r="H245" s="15" t="str">
        <f>KT_09!$B$15</f>
        <v/>
      </c>
      <c r="I245" s="30" t="str">
        <f>KT_09!$K$15</f>
        <v/>
      </c>
    </row>
    <row r="246" ht="15.75" customHeight="1">
      <c r="A246" s="26"/>
      <c r="B246" s="26"/>
      <c r="C246" s="26"/>
      <c r="D246" s="29"/>
      <c r="E246" s="26"/>
      <c r="F246" s="26" t="str">
        <f>KT_09!$B$4</f>
        <v/>
      </c>
      <c r="G246" s="26" t="str">
        <f>KT_09!$A$16</f>
        <v/>
      </c>
      <c r="H246" s="15" t="str">
        <f>KT_09!$B$16</f>
        <v/>
      </c>
      <c r="I246" s="30" t="str">
        <f>KT_09!$K$16</f>
        <v/>
      </c>
    </row>
    <row r="247" ht="15.75" customHeight="1">
      <c r="A247" s="26"/>
      <c r="B247" s="26"/>
      <c r="C247" s="26"/>
      <c r="D247" s="29"/>
      <c r="E247" s="26"/>
      <c r="F247" s="26" t="str">
        <f>KT_09!$B$4</f>
        <v/>
      </c>
      <c r="G247" s="26" t="str">
        <f>KT_09!$A$17</f>
        <v/>
      </c>
      <c r="H247" s="15" t="str">
        <f>KT_09!$B$17</f>
        <v/>
      </c>
      <c r="I247" s="30" t="str">
        <f>KT_09!$K$17</f>
        <v/>
      </c>
    </row>
    <row r="248" ht="15.75" customHeight="1">
      <c r="A248" s="26"/>
      <c r="B248" s="26"/>
      <c r="C248" s="26"/>
      <c r="D248" s="29"/>
      <c r="E248" s="26"/>
      <c r="F248" s="26" t="str">
        <f>KT_09!$B$4</f>
        <v/>
      </c>
      <c r="G248" s="26" t="str">
        <f>KT_09!$A$18</f>
        <v/>
      </c>
      <c r="H248" s="15" t="str">
        <f>KT_09!$B$18</f>
        <v/>
      </c>
      <c r="I248" s="30" t="str">
        <f>KT_09!$K$18</f>
        <v/>
      </c>
    </row>
    <row r="249" ht="15.75" customHeight="1">
      <c r="A249" s="26"/>
      <c r="B249" s="26"/>
      <c r="C249" s="26"/>
      <c r="D249" s="29"/>
      <c r="E249" s="26"/>
      <c r="F249" s="26" t="str">
        <f>KT_09!$B$4</f>
        <v/>
      </c>
      <c r="G249" s="26" t="str">
        <f>KT_09!$A$19</f>
        <v/>
      </c>
      <c r="H249" s="15" t="str">
        <f>KT_09!$B$19</f>
        <v/>
      </c>
      <c r="I249" s="30" t="str">
        <f>KT_09!$K$19</f>
        <v/>
      </c>
    </row>
    <row r="250" ht="15.75" customHeight="1">
      <c r="A250" s="26"/>
      <c r="B250" s="26"/>
      <c r="C250" s="26"/>
      <c r="D250" s="29"/>
      <c r="E250" s="26"/>
      <c r="F250" s="26" t="str">
        <f>KT_09!$B$4</f>
        <v/>
      </c>
      <c r="G250" s="26" t="str">
        <f>KT_09!$A$20</f>
        <v/>
      </c>
      <c r="H250" s="15" t="str">
        <f>KT_09!$B$20</f>
        <v/>
      </c>
      <c r="I250" s="30" t="str">
        <f>KT_09!$K$20</f>
        <v/>
      </c>
    </row>
    <row r="251" ht="15.75" customHeight="1">
      <c r="A251" s="26"/>
      <c r="B251" s="26"/>
      <c r="C251" s="26"/>
      <c r="D251" s="29"/>
      <c r="E251" s="26"/>
      <c r="F251" s="26" t="str">
        <f>KT_09!$B$4</f>
        <v/>
      </c>
      <c r="G251" s="26" t="str">
        <f>KT_09!$A$21</f>
        <v/>
      </c>
      <c r="H251" s="15" t="str">
        <f>KT_09!$B$21</f>
        <v/>
      </c>
      <c r="I251" s="30" t="str">
        <f>KT_09!$K$21</f>
        <v/>
      </c>
    </row>
    <row r="252" ht="15.75" customHeight="1">
      <c r="A252" s="26"/>
      <c r="B252" s="26"/>
      <c r="C252" s="26"/>
      <c r="D252" s="29"/>
      <c r="E252" s="26"/>
      <c r="F252" s="26" t="str">
        <f>KT_09!$B$4</f>
        <v/>
      </c>
      <c r="G252" s="26" t="str">
        <f>KT_09!$A$22</f>
        <v/>
      </c>
      <c r="H252" s="15" t="str">
        <f>KT_09!$B$22</f>
        <v/>
      </c>
      <c r="I252" s="30" t="str">
        <f>KT_09!$K$22</f>
        <v/>
      </c>
    </row>
    <row r="253" ht="15.75" customHeight="1">
      <c r="A253" s="26"/>
      <c r="B253" s="26"/>
      <c r="C253" s="26"/>
      <c r="D253" s="29"/>
      <c r="E253" s="26"/>
      <c r="F253" s="26" t="str">
        <f>KT_09!$B$4</f>
        <v/>
      </c>
      <c r="G253" s="26" t="str">
        <f>KT_09!$A$23</f>
        <v/>
      </c>
      <c r="H253" s="15" t="str">
        <f>KT_09!$B$23</f>
        <v/>
      </c>
      <c r="I253" s="30" t="str">
        <f>KT_09!$K$23</f>
        <v/>
      </c>
    </row>
    <row r="254" ht="15.75" customHeight="1">
      <c r="A254" s="26"/>
      <c r="B254" s="26"/>
      <c r="C254" s="26"/>
      <c r="D254" s="29"/>
      <c r="E254" s="26"/>
      <c r="F254" s="26" t="str">
        <f>KT_09!$B$4</f>
        <v/>
      </c>
      <c r="G254" s="26" t="str">
        <f>KT_09!$A$24</f>
        <v/>
      </c>
      <c r="H254" s="15" t="str">
        <f>KT_09!$B$24</f>
        <v/>
      </c>
      <c r="I254" s="30" t="str">
        <f>KT_09!$K$24</f>
        <v/>
      </c>
    </row>
    <row r="255" ht="15.75" customHeight="1">
      <c r="A255" s="26"/>
      <c r="B255" s="26"/>
      <c r="C255" s="26"/>
      <c r="D255" s="29"/>
      <c r="E255" s="26"/>
      <c r="F255" s="26" t="str">
        <f>KT_09!$B$4</f>
        <v/>
      </c>
      <c r="G255" s="26" t="str">
        <f>KT_09!$A$25</f>
        <v/>
      </c>
      <c r="H255" s="15" t="str">
        <f>KT_09!$B$25</f>
        <v/>
      </c>
      <c r="I255" s="30" t="str">
        <f>KT_09!$K$25</f>
        <v/>
      </c>
    </row>
    <row r="256" ht="15.75" customHeight="1">
      <c r="A256" s="26"/>
      <c r="B256" s="26"/>
      <c r="C256" s="26"/>
      <c r="D256" s="29"/>
      <c r="E256" s="26"/>
      <c r="F256" s="26" t="str">
        <f>KT_09!$B$4</f>
        <v/>
      </c>
      <c r="G256" s="26" t="str">
        <f>KT_09!$A$26</f>
        <v/>
      </c>
      <c r="H256" s="15" t="str">
        <f>KT_09!$B$26</f>
        <v/>
      </c>
      <c r="I256" s="30" t="str">
        <f>KT_09!$K$26</f>
        <v/>
      </c>
    </row>
    <row r="257" ht="15.75" customHeight="1">
      <c r="A257" s="26"/>
      <c r="B257" s="26"/>
      <c r="C257" s="26"/>
      <c r="D257" s="29"/>
      <c r="E257" s="26"/>
      <c r="F257" s="26" t="str">
        <f>KT_09!$B$4</f>
        <v/>
      </c>
      <c r="G257" s="26" t="str">
        <f>KT_09!$A$27</f>
        <v/>
      </c>
      <c r="H257" s="15" t="str">
        <f>KT_09!$B$27</f>
        <v/>
      </c>
      <c r="I257" s="30" t="str">
        <f>KT_09!$K$27</f>
        <v/>
      </c>
    </row>
    <row r="258" ht="15.75" customHeight="1">
      <c r="A258" s="26"/>
      <c r="B258" s="26"/>
      <c r="C258" s="26"/>
      <c r="D258" s="29"/>
      <c r="E258" s="26"/>
      <c r="F258" s="26" t="str">
        <f>KT_09!$B$4</f>
        <v/>
      </c>
      <c r="G258" s="26" t="str">
        <f>KT_09!$A$28</f>
        <v/>
      </c>
      <c r="H258" s="15" t="str">
        <f>KT_09!$B$28</f>
        <v/>
      </c>
      <c r="I258" s="30" t="str">
        <f>KT_09!$K$28</f>
        <v/>
      </c>
    </row>
    <row r="259" ht="15.75" customHeight="1">
      <c r="A259" s="26"/>
      <c r="B259" s="26"/>
      <c r="C259" s="26"/>
      <c r="D259" s="29"/>
      <c r="E259" s="26"/>
      <c r="F259" s="26" t="str">
        <f>KT_09!$B$4</f>
        <v/>
      </c>
      <c r="G259" s="26" t="str">
        <f>KT_09!$A$29</f>
        <v/>
      </c>
      <c r="H259" s="15" t="str">
        <f>KT_09!$B$29</f>
        <v/>
      </c>
      <c r="I259" s="30" t="str">
        <f>KT_09!$K$29</f>
        <v/>
      </c>
    </row>
    <row r="260" ht="15.75" customHeight="1">
      <c r="A260" s="26"/>
      <c r="B260" s="26"/>
      <c r="C260" s="26"/>
      <c r="D260" s="29"/>
      <c r="E260" s="26"/>
      <c r="F260" s="26" t="str">
        <f>KT_09!$B$4</f>
        <v/>
      </c>
      <c r="G260" s="26" t="str">
        <f>KT_09!$A$30</f>
        <v/>
      </c>
      <c r="H260" s="15" t="str">
        <f>KT_09!$B$30</f>
        <v/>
      </c>
      <c r="I260" s="30" t="str">
        <f>KT_09!$K$30</f>
        <v/>
      </c>
    </row>
    <row r="261" ht="15.75" customHeight="1">
      <c r="A261" s="26"/>
      <c r="B261" s="26"/>
      <c r="C261" s="26"/>
      <c r="D261" s="29"/>
      <c r="E261" s="26"/>
      <c r="F261" s="26" t="str">
        <f>KT_09!$B$4</f>
        <v/>
      </c>
      <c r="G261" s="26" t="str">
        <f>KT_09!$A$31</f>
        <v/>
      </c>
      <c r="H261" s="15" t="str">
        <f>KT_09!$B$31</f>
        <v/>
      </c>
      <c r="I261" s="30" t="str">
        <f>KT_09!$K$31</f>
        <v/>
      </c>
    </row>
    <row r="262" ht="15.75" customHeight="1">
      <c r="A262" s="26"/>
      <c r="B262" s="26"/>
      <c r="C262" s="26"/>
      <c r="D262" s="29"/>
      <c r="E262" s="26"/>
      <c r="F262" s="26" t="str">
        <f>KT_09!$B$4</f>
        <v/>
      </c>
      <c r="G262" s="26" t="str">
        <f>KT_09!$A$32</f>
        <v/>
      </c>
      <c r="H262" s="15" t="str">
        <f>KT_09!$B$32</f>
        <v/>
      </c>
      <c r="I262" s="30" t="str">
        <f>KT_09!$K$32</f>
        <v/>
      </c>
    </row>
    <row r="263" ht="15.75" customHeight="1">
      <c r="A263" s="26"/>
      <c r="B263" s="26"/>
      <c r="C263" s="26"/>
      <c r="D263" s="29"/>
      <c r="E263" s="26"/>
      <c r="F263" s="26" t="str">
        <f>KT_09!$B$4</f>
        <v/>
      </c>
      <c r="G263" s="26" t="str">
        <f>KT_09!$A$33</f>
        <v/>
      </c>
      <c r="H263" s="15" t="str">
        <f>KT_09!$B$33</f>
        <v/>
      </c>
      <c r="I263" s="30" t="str">
        <f>KT_09!$K$33</f>
        <v/>
      </c>
    </row>
    <row r="264" ht="15.75" customHeight="1">
      <c r="A264" s="26"/>
      <c r="B264" s="26"/>
      <c r="C264" s="26"/>
      <c r="D264" s="29"/>
      <c r="E264" s="26"/>
      <c r="F264" s="26" t="str">
        <f>KT_09!$B$4</f>
        <v/>
      </c>
      <c r="G264" s="26" t="str">
        <f>KT_09!$A$34</f>
        <v/>
      </c>
      <c r="H264" s="15" t="str">
        <f>KT_09!$B$34</f>
        <v/>
      </c>
      <c r="I264" s="30" t="str">
        <f>KT_09!$K$34</f>
        <v/>
      </c>
    </row>
    <row r="265" ht="15.75" customHeight="1">
      <c r="A265" s="26"/>
      <c r="B265" s="26"/>
      <c r="C265" s="26"/>
      <c r="D265" s="29"/>
      <c r="E265" s="26"/>
      <c r="F265" s="26" t="str">
        <f>KT_09!$B$4</f>
        <v/>
      </c>
      <c r="G265" s="26" t="str">
        <f>KT_09!$A$35</f>
        <v/>
      </c>
      <c r="H265" s="15" t="str">
        <f>KT_09!$B$35</f>
        <v/>
      </c>
      <c r="I265" s="30" t="str">
        <f>KT_09!$K$35</f>
        <v/>
      </c>
    </row>
    <row r="266" ht="15.75" customHeight="1">
      <c r="A266" s="26"/>
      <c r="B266" s="26"/>
      <c r="C266" s="26"/>
      <c r="D266" s="29"/>
      <c r="E266" s="26"/>
      <c r="F266" s="26" t="str">
        <f>KT_09!$B$4</f>
        <v/>
      </c>
      <c r="G266" s="26" t="str">
        <f>KT_09!$A$36</f>
        <v/>
      </c>
      <c r="H266" s="15" t="str">
        <f>KT_09!$B$36</f>
        <v/>
      </c>
      <c r="I266" s="30" t="str">
        <f>KT_09!$K$36</f>
        <v/>
      </c>
    </row>
    <row r="267" ht="15.75" customHeight="1">
      <c r="A267" s="26"/>
      <c r="B267" s="26"/>
      <c r="C267" s="26"/>
      <c r="D267" s="29"/>
      <c r="E267" s="26"/>
      <c r="F267" s="26" t="str">
        <f>KT_09!$B$4</f>
        <v/>
      </c>
      <c r="G267" s="26" t="str">
        <f>KT_09!$A$37</f>
        <v/>
      </c>
      <c r="H267" s="15" t="str">
        <f>KT_09!$B$37</f>
        <v/>
      </c>
      <c r="I267" s="30" t="str">
        <f>KT_09!$K$37</f>
        <v/>
      </c>
    </row>
    <row r="268" ht="15.75" customHeight="1">
      <c r="A268" s="26"/>
      <c r="B268" s="26"/>
      <c r="C268" s="26"/>
      <c r="D268" s="29"/>
      <c r="E268" s="26"/>
      <c r="F268" s="26" t="str">
        <f>KT_09!$B$4</f>
        <v/>
      </c>
      <c r="G268" s="26" t="str">
        <f>KT_09!$A$38</f>
        <v/>
      </c>
      <c r="H268" s="15" t="str">
        <f>KT_09!$B$38</f>
        <v/>
      </c>
      <c r="I268" s="30" t="str">
        <f>KT_09!$K$38</f>
        <v/>
      </c>
    </row>
    <row r="269" ht="15.75" customHeight="1">
      <c r="A269" s="26"/>
      <c r="B269" s="26"/>
      <c r="C269" s="26"/>
      <c r="D269" s="29"/>
      <c r="E269" s="26"/>
      <c r="F269" s="26" t="str">
        <f>KT_09!$B$4</f>
        <v/>
      </c>
      <c r="G269" s="26" t="str">
        <f>KT_09!$A$39</f>
        <v/>
      </c>
      <c r="H269" s="15" t="str">
        <f>KT_09!$B$39</f>
        <v/>
      </c>
      <c r="I269" s="30" t="str">
        <f>KT_09!$K$39</f>
        <v/>
      </c>
    </row>
    <row r="270" ht="15.75" customHeight="1">
      <c r="A270" s="26"/>
      <c r="B270" s="26"/>
      <c r="C270" s="26"/>
      <c r="D270" s="29"/>
      <c r="E270" s="26"/>
      <c r="F270" s="26" t="str">
        <f>KT_09!$B$4</f>
        <v/>
      </c>
      <c r="G270" s="26" t="str">
        <f>KT_09!$A$40</f>
        <v/>
      </c>
      <c r="H270" s="15" t="str">
        <f>KT_09!$B$40</f>
        <v/>
      </c>
      <c r="I270" s="30" t="str">
        <f>KT_09!$K$40</f>
        <v/>
      </c>
    </row>
    <row r="271" ht="15.75" customHeight="1">
      <c r="A271" s="26"/>
      <c r="B271" s="26"/>
      <c r="C271" s="26"/>
      <c r="D271" s="29"/>
      <c r="E271" s="26"/>
      <c r="F271" s="26" t="str">
        <f>KT_09!$B$4</f>
        <v/>
      </c>
      <c r="G271" s="26" t="str">
        <f>KT_09!$A$41</f>
        <v/>
      </c>
      <c r="H271" s="15" t="str">
        <f>KT_09!$B$41</f>
        <v/>
      </c>
      <c r="I271" s="30" t="str">
        <f>KT_09!$K$41</f>
        <v/>
      </c>
    </row>
    <row r="272" ht="15.75" customHeight="1">
      <c r="A272" s="26"/>
      <c r="B272" s="26"/>
      <c r="C272" s="26"/>
      <c r="D272" s="29"/>
      <c r="E272" s="26"/>
      <c r="F272" s="26" t="str">
        <f>KT_09!$B$4</f>
        <v/>
      </c>
      <c r="G272" s="26" t="str">
        <f>KT_09!$A$42</f>
        <v/>
      </c>
      <c r="H272" s="15" t="str">
        <f>KT_09!$B$42</f>
        <v/>
      </c>
      <c r="I272" s="30" t="str">
        <f>KT_09!$K$42</f>
        <v/>
      </c>
    </row>
    <row r="273" ht="15.75" customHeight="1">
      <c r="A273" s="26"/>
      <c r="B273" s="26"/>
      <c r="C273" s="26"/>
      <c r="D273" s="29"/>
      <c r="E273" s="26"/>
      <c r="F273" s="26" t="str">
        <f>KT_09!$B$4</f>
        <v/>
      </c>
      <c r="G273" s="26" t="str">
        <f>KT_09!$A$43</f>
        <v/>
      </c>
      <c r="H273" s="15" t="str">
        <f>KT_09!$B$43</f>
        <v/>
      </c>
      <c r="I273" s="30" t="str">
        <f>KT_09!$K$43</f>
        <v/>
      </c>
    </row>
    <row r="274" ht="15.75" customHeight="1">
      <c r="A274" s="26"/>
      <c r="B274" s="26"/>
      <c r="C274" s="26"/>
      <c r="D274" s="29"/>
      <c r="E274" s="26"/>
      <c r="F274" s="26" t="str">
        <f>KT_10!$B$4</f>
        <v/>
      </c>
      <c r="G274" s="26" t="str">
        <f>KT_10!$A$14</f>
        <v/>
      </c>
      <c r="H274" s="15" t="str">
        <f>KT_10!$B$14</f>
        <v/>
      </c>
      <c r="I274" s="30" t="str">
        <f>KT_10!$K$14</f>
        <v/>
      </c>
    </row>
    <row r="275" ht="15.75" customHeight="1">
      <c r="A275" s="26"/>
      <c r="B275" s="26"/>
      <c r="C275" s="26"/>
      <c r="D275" s="29"/>
      <c r="E275" s="26"/>
      <c r="F275" s="26" t="str">
        <f>KT_10!$B$4</f>
        <v/>
      </c>
      <c r="G275" s="26" t="str">
        <f>KT_10!$A$15</f>
        <v/>
      </c>
      <c r="H275" s="15" t="str">
        <f>KT_10!$B$15</f>
        <v/>
      </c>
      <c r="I275" s="30" t="str">
        <f>KT_10!$K$15</f>
        <v/>
      </c>
    </row>
    <row r="276" ht="15.75" customHeight="1">
      <c r="A276" s="26"/>
      <c r="B276" s="26"/>
      <c r="C276" s="26"/>
      <c r="D276" s="29"/>
      <c r="E276" s="26"/>
      <c r="F276" s="26" t="str">
        <f>KT_10!$B$4</f>
        <v/>
      </c>
      <c r="G276" s="26" t="str">
        <f>KT_10!$A$16</f>
        <v/>
      </c>
      <c r="H276" s="15" t="str">
        <f>KT_10!$B$16</f>
        <v/>
      </c>
      <c r="I276" s="30" t="str">
        <f>KT_10!$K$16</f>
        <v/>
      </c>
    </row>
    <row r="277" ht="15.75" customHeight="1">
      <c r="A277" s="26"/>
      <c r="B277" s="26"/>
      <c r="C277" s="26"/>
      <c r="D277" s="29"/>
      <c r="E277" s="26"/>
      <c r="F277" s="26" t="str">
        <f>KT_10!$B$4</f>
        <v/>
      </c>
      <c r="G277" s="26" t="str">
        <f>KT_10!$A$17</f>
        <v/>
      </c>
      <c r="H277" s="15" t="str">
        <f>KT_10!$B$17</f>
        <v/>
      </c>
      <c r="I277" s="30" t="str">
        <f>KT_10!$K$17</f>
        <v/>
      </c>
    </row>
    <row r="278" ht="15.75" customHeight="1">
      <c r="A278" s="26"/>
      <c r="B278" s="26"/>
      <c r="C278" s="26"/>
      <c r="D278" s="29"/>
      <c r="E278" s="26"/>
      <c r="F278" s="26" t="str">
        <f>KT_10!$B$4</f>
        <v/>
      </c>
      <c r="G278" s="26" t="str">
        <f>KT_10!$A$18</f>
        <v/>
      </c>
      <c r="H278" s="15" t="str">
        <f>KT_10!$B$18</f>
        <v/>
      </c>
      <c r="I278" s="30" t="str">
        <f>KT_10!$K$18</f>
        <v/>
      </c>
    </row>
    <row r="279" ht="15.75" customHeight="1">
      <c r="A279" s="26"/>
      <c r="B279" s="26"/>
      <c r="C279" s="26"/>
      <c r="D279" s="29"/>
      <c r="E279" s="26"/>
      <c r="F279" s="26" t="str">
        <f>KT_10!$B$4</f>
        <v/>
      </c>
      <c r="G279" s="26" t="str">
        <f>KT_10!$A$19</f>
        <v/>
      </c>
      <c r="H279" s="15" t="str">
        <f>KT_10!$B$19</f>
        <v/>
      </c>
      <c r="I279" s="30" t="str">
        <f>KT_10!$K$19</f>
        <v/>
      </c>
    </row>
    <row r="280" ht="15.75" customHeight="1">
      <c r="A280" s="26"/>
      <c r="B280" s="26"/>
      <c r="C280" s="26"/>
      <c r="D280" s="29"/>
      <c r="E280" s="26"/>
      <c r="F280" s="26" t="str">
        <f>KT_10!$B$4</f>
        <v/>
      </c>
      <c r="G280" s="26" t="str">
        <f>KT_10!$A$20</f>
        <v/>
      </c>
      <c r="H280" s="15" t="str">
        <f>KT_10!$B$20</f>
        <v/>
      </c>
      <c r="I280" s="30" t="str">
        <f>KT_10!$K$20</f>
        <v/>
      </c>
    </row>
    <row r="281" ht="15.75" customHeight="1">
      <c r="A281" s="26"/>
      <c r="B281" s="26"/>
      <c r="C281" s="26"/>
      <c r="D281" s="29"/>
      <c r="E281" s="26"/>
      <c r="F281" s="26" t="str">
        <f>KT_10!$B$4</f>
        <v/>
      </c>
      <c r="G281" s="26" t="str">
        <f>KT_10!$A$21</f>
        <v/>
      </c>
      <c r="H281" s="15" t="str">
        <f>KT_10!$B$21</f>
        <v/>
      </c>
      <c r="I281" s="30" t="str">
        <f>KT_10!$K$21</f>
        <v/>
      </c>
    </row>
    <row r="282" ht="15.75" customHeight="1">
      <c r="A282" s="26"/>
      <c r="B282" s="26"/>
      <c r="C282" s="26"/>
      <c r="D282" s="29"/>
      <c r="E282" s="26"/>
      <c r="F282" s="26" t="str">
        <f>KT_10!$B$4</f>
        <v/>
      </c>
      <c r="G282" s="26" t="str">
        <f>KT_10!$A$22</f>
        <v/>
      </c>
      <c r="H282" s="15" t="str">
        <f>KT_10!$B$22</f>
        <v/>
      </c>
      <c r="I282" s="30" t="str">
        <f>KT_10!$K$22</f>
        <v/>
      </c>
    </row>
    <row r="283" ht="15.75" customHeight="1">
      <c r="A283" s="26"/>
      <c r="B283" s="26"/>
      <c r="C283" s="26"/>
      <c r="D283" s="29"/>
      <c r="E283" s="26"/>
      <c r="F283" s="26" t="str">
        <f>KT_10!$B$4</f>
        <v/>
      </c>
      <c r="G283" s="26" t="str">
        <f>KT_10!$A$23</f>
        <v/>
      </c>
      <c r="H283" s="15" t="str">
        <f>KT_10!$B$23</f>
        <v/>
      </c>
      <c r="I283" s="30" t="str">
        <f>KT_10!$K$23</f>
        <v/>
      </c>
    </row>
    <row r="284" ht="15.75" customHeight="1">
      <c r="A284" s="26"/>
      <c r="B284" s="26"/>
      <c r="C284" s="26"/>
      <c r="D284" s="29"/>
      <c r="E284" s="26"/>
      <c r="F284" s="26" t="str">
        <f>KT_10!$B$4</f>
        <v/>
      </c>
      <c r="G284" s="26" t="str">
        <f>KT_10!$A$24</f>
        <v/>
      </c>
      <c r="H284" s="15" t="str">
        <f>KT_10!$B$24</f>
        <v/>
      </c>
      <c r="I284" s="30" t="str">
        <f>KT_10!$K$24</f>
        <v/>
      </c>
    </row>
    <row r="285" ht="15.75" customHeight="1">
      <c r="A285" s="26"/>
      <c r="B285" s="26"/>
      <c r="C285" s="26"/>
      <c r="D285" s="29"/>
      <c r="E285" s="26"/>
      <c r="F285" s="26" t="str">
        <f>KT_10!$B$4</f>
        <v/>
      </c>
      <c r="G285" s="26" t="str">
        <f>KT_10!$A$25</f>
        <v/>
      </c>
      <c r="H285" s="15" t="str">
        <f>KT_10!$B$25</f>
        <v/>
      </c>
      <c r="I285" s="30" t="str">
        <f>KT_10!$K$25</f>
        <v/>
      </c>
    </row>
    <row r="286" ht="15.75" customHeight="1">
      <c r="A286" s="26"/>
      <c r="B286" s="26"/>
      <c r="C286" s="26"/>
      <c r="D286" s="29"/>
      <c r="E286" s="26"/>
      <c r="F286" s="26" t="str">
        <f>KT_10!$B$4</f>
        <v/>
      </c>
      <c r="G286" s="26" t="str">
        <f>KT_10!$A$26</f>
        <v/>
      </c>
      <c r="H286" s="15" t="str">
        <f>KT_10!$B$26</f>
        <v/>
      </c>
      <c r="I286" s="30" t="str">
        <f>KT_10!$K$26</f>
        <v/>
      </c>
    </row>
    <row r="287" ht="15.75" customHeight="1">
      <c r="A287" s="26"/>
      <c r="B287" s="26"/>
      <c r="C287" s="26"/>
      <c r="D287" s="29"/>
      <c r="E287" s="26"/>
      <c r="F287" s="26" t="str">
        <f>KT_10!$B$4</f>
        <v/>
      </c>
      <c r="G287" s="26" t="str">
        <f>KT_10!$A$27</f>
        <v/>
      </c>
      <c r="H287" s="15" t="str">
        <f>KT_10!$B$27</f>
        <v/>
      </c>
      <c r="I287" s="30" t="str">
        <f>KT_10!$K$27</f>
        <v/>
      </c>
    </row>
    <row r="288" ht="15.75" customHeight="1">
      <c r="A288" s="26"/>
      <c r="B288" s="26"/>
      <c r="C288" s="26"/>
      <c r="D288" s="29"/>
      <c r="E288" s="26"/>
      <c r="F288" s="26" t="str">
        <f>KT_10!$B$4</f>
        <v/>
      </c>
      <c r="G288" s="26" t="str">
        <f>KT_10!$A$28</f>
        <v/>
      </c>
      <c r="H288" s="15" t="str">
        <f>KT_10!$B$28</f>
        <v/>
      </c>
      <c r="I288" s="30" t="str">
        <f>KT_10!$K$28</f>
        <v/>
      </c>
    </row>
    <row r="289" ht="15.75" customHeight="1">
      <c r="A289" s="26"/>
      <c r="B289" s="26"/>
      <c r="C289" s="26"/>
      <c r="D289" s="29"/>
      <c r="E289" s="26"/>
      <c r="F289" s="26" t="str">
        <f>KT_10!$B$4</f>
        <v/>
      </c>
      <c r="G289" s="26" t="str">
        <f>KT_10!$A$29</f>
        <v/>
      </c>
      <c r="H289" s="15" t="str">
        <f>KT_10!$B$29</f>
        <v/>
      </c>
      <c r="I289" s="30" t="str">
        <f>KT_10!$K$29</f>
        <v/>
      </c>
    </row>
    <row r="290" ht="15.75" customHeight="1">
      <c r="A290" s="26"/>
      <c r="B290" s="26"/>
      <c r="C290" s="26"/>
      <c r="D290" s="29"/>
      <c r="E290" s="26"/>
      <c r="F290" s="26" t="str">
        <f>KT_10!$B$4</f>
        <v/>
      </c>
      <c r="G290" s="26" t="str">
        <f>KT_10!$A$30</f>
        <v/>
      </c>
      <c r="H290" s="15" t="str">
        <f>KT_10!$B$30</f>
        <v/>
      </c>
      <c r="I290" s="30" t="str">
        <f>KT_10!$K$30</f>
        <v/>
      </c>
    </row>
    <row r="291" ht="15.75" customHeight="1">
      <c r="A291" s="26"/>
      <c r="B291" s="26"/>
      <c r="C291" s="26"/>
      <c r="D291" s="29"/>
      <c r="E291" s="26"/>
      <c r="F291" s="26" t="str">
        <f>KT_10!$B$4</f>
        <v/>
      </c>
      <c r="G291" s="26" t="str">
        <f>KT_10!$A$31</f>
        <v/>
      </c>
      <c r="H291" s="15" t="str">
        <f>KT_10!$B$31</f>
        <v/>
      </c>
      <c r="I291" s="30" t="str">
        <f>KT_10!$K$31</f>
        <v/>
      </c>
    </row>
    <row r="292" ht="15.75" customHeight="1">
      <c r="A292" s="26"/>
      <c r="B292" s="26"/>
      <c r="C292" s="26"/>
      <c r="D292" s="29"/>
      <c r="E292" s="26"/>
      <c r="F292" s="26" t="str">
        <f>KT_10!$B$4</f>
        <v/>
      </c>
      <c r="G292" s="26" t="str">
        <f>KT_10!$A$32</f>
        <v/>
      </c>
      <c r="H292" s="15" t="str">
        <f>KT_10!$B$32</f>
        <v/>
      </c>
      <c r="I292" s="30" t="str">
        <f>KT_10!$K$32</f>
        <v/>
      </c>
    </row>
    <row r="293" ht="15.75" customHeight="1">
      <c r="A293" s="26"/>
      <c r="B293" s="26"/>
      <c r="C293" s="26"/>
      <c r="D293" s="29"/>
      <c r="E293" s="26"/>
      <c r="F293" s="26" t="str">
        <f>KT_10!$B$4</f>
        <v/>
      </c>
      <c r="G293" s="26" t="str">
        <f>KT_10!$A$33</f>
        <v/>
      </c>
      <c r="H293" s="15" t="str">
        <f>KT_10!$B$33</f>
        <v/>
      </c>
      <c r="I293" s="30" t="str">
        <f>KT_10!$K$33</f>
        <v/>
      </c>
    </row>
    <row r="294" ht="15.75" customHeight="1">
      <c r="A294" s="26"/>
      <c r="B294" s="26"/>
      <c r="C294" s="26"/>
      <c r="D294" s="29"/>
      <c r="E294" s="26"/>
      <c r="F294" s="26" t="str">
        <f>KT_10!$B$4</f>
        <v/>
      </c>
      <c r="G294" s="26" t="str">
        <f>KT_10!$A$34</f>
        <v/>
      </c>
      <c r="H294" s="15" t="str">
        <f>KT_10!$B$34</f>
        <v/>
      </c>
      <c r="I294" s="30" t="str">
        <f>KT_10!$K$34</f>
        <v/>
      </c>
    </row>
    <row r="295" ht="15.75" customHeight="1">
      <c r="A295" s="26"/>
      <c r="B295" s="26"/>
      <c r="C295" s="26"/>
      <c r="D295" s="29"/>
      <c r="E295" s="26"/>
      <c r="F295" s="26" t="str">
        <f>KT_10!$B$4</f>
        <v/>
      </c>
      <c r="G295" s="26" t="str">
        <f>KT_10!$A$35</f>
        <v/>
      </c>
      <c r="H295" s="15" t="str">
        <f>KT_10!$B$35</f>
        <v/>
      </c>
      <c r="I295" s="30" t="str">
        <f>KT_10!$K$35</f>
        <v/>
      </c>
    </row>
    <row r="296" ht="15.75" customHeight="1">
      <c r="A296" s="26"/>
      <c r="B296" s="26"/>
      <c r="C296" s="26"/>
      <c r="D296" s="29"/>
      <c r="E296" s="26"/>
      <c r="F296" s="26" t="str">
        <f>KT_10!$B$4</f>
        <v/>
      </c>
      <c r="G296" s="26" t="str">
        <f>KT_10!$A$36</f>
        <v/>
      </c>
      <c r="H296" s="15" t="str">
        <f>KT_10!$B$36</f>
        <v/>
      </c>
      <c r="I296" s="30" t="str">
        <f>KT_10!$K$36</f>
        <v/>
      </c>
    </row>
    <row r="297" ht="15.75" customHeight="1">
      <c r="A297" s="26"/>
      <c r="B297" s="26"/>
      <c r="C297" s="26"/>
      <c r="D297" s="29"/>
      <c r="E297" s="26"/>
      <c r="F297" s="26" t="str">
        <f>KT_10!$B$4</f>
        <v/>
      </c>
      <c r="G297" s="26" t="str">
        <f>KT_10!$A$37</f>
        <v/>
      </c>
      <c r="H297" s="15" t="str">
        <f>KT_10!$B$37</f>
        <v/>
      </c>
      <c r="I297" s="30" t="str">
        <f>KT_10!$K$37</f>
        <v/>
      </c>
    </row>
    <row r="298" ht="15.75" customHeight="1">
      <c r="A298" s="26"/>
      <c r="B298" s="26"/>
      <c r="C298" s="26"/>
      <c r="D298" s="29"/>
      <c r="E298" s="26"/>
      <c r="F298" s="26" t="str">
        <f>KT_10!$B$4</f>
        <v/>
      </c>
      <c r="G298" s="26" t="str">
        <f>KT_10!$A$38</f>
        <v/>
      </c>
      <c r="H298" s="15" t="str">
        <f>KT_10!$B$38</f>
        <v/>
      </c>
      <c r="I298" s="30" t="str">
        <f>KT_10!$K$38</f>
        <v/>
      </c>
    </row>
    <row r="299" ht="15.75" customHeight="1">
      <c r="A299" s="26"/>
      <c r="B299" s="26"/>
      <c r="C299" s="26"/>
      <c r="D299" s="29"/>
      <c r="E299" s="26"/>
      <c r="F299" s="26" t="str">
        <f>KT_10!$B$4</f>
        <v/>
      </c>
      <c r="G299" s="26" t="str">
        <f>KT_10!$A$39</f>
        <v/>
      </c>
      <c r="H299" s="15" t="str">
        <f>KT_10!$B$39</f>
        <v/>
      </c>
      <c r="I299" s="30" t="str">
        <f>KT_10!$K$39</f>
        <v/>
      </c>
    </row>
    <row r="300" ht="15.75" customHeight="1">
      <c r="A300" s="26"/>
      <c r="B300" s="26"/>
      <c r="C300" s="26"/>
      <c r="D300" s="29"/>
      <c r="E300" s="26"/>
      <c r="F300" s="26" t="str">
        <f>KT_10!$B$4</f>
        <v/>
      </c>
      <c r="G300" s="26" t="str">
        <f>KT_10!$A$40</f>
        <v/>
      </c>
      <c r="H300" s="15" t="str">
        <f>KT_10!$B$40</f>
        <v/>
      </c>
      <c r="I300" s="30" t="str">
        <f>KT_10!$K$40</f>
        <v/>
      </c>
    </row>
    <row r="301" ht="15.75" customHeight="1">
      <c r="A301" s="26"/>
      <c r="B301" s="26"/>
      <c r="C301" s="26"/>
      <c r="D301" s="29"/>
      <c r="E301" s="26"/>
      <c r="F301" s="26" t="str">
        <f>KT_10!$B$4</f>
        <v/>
      </c>
      <c r="G301" s="26" t="str">
        <f>KT_10!$A$41</f>
        <v/>
      </c>
      <c r="H301" s="15" t="str">
        <f>KT_10!$B$41</f>
        <v/>
      </c>
      <c r="I301" s="30" t="str">
        <f>KT_10!$K$41</f>
        <v/>
      </c>
    </row>
    <row r="302" ht="15.75" customHeight="1">
      <c r="A302" s="26"/>
      <c r="B302" s="26"/>
      <c r="C302" s="26"/>
      <c r="D302" s="29"/>
      <c r="E302" s="26"/>
      <c r="F302" s="26" t="str">
        <f>KT_10!$B$4</f>
        <v/>
      </c>
      <c r="G302" s="26" t="str">
        <f>KT_10!$A$42</f>
        <v/>
      </c>
      <c r="H302" s="15" t="str">
        <f>KT_10!$B$42</f>
        <v/>
      </c>
      <c r="I302" s="30" t="str">
        <f>KT_10!$K$42</f>
        <v/>
      </c>
    </row>
    <row r="303" ht="15.75" customHeight="1">
      <c r="A303" s="26"/>
      <c r="B303" s="26"/>
      <c r="C303" s="26"/>
      <c r="D303" s="29"/>
      <c r="E303" s="26"/>
      <c r="F303" s="26" t="str">
        <f>KT_10!$B$4</f>
        <v/>
      </c>
      <c r="G303" s="26" t="str">
        <f>KT_10!$A$43</f>
        <v/>
      </c>
      <c r="H303" s="15" t="str">
        <f>KT_10!$B$43</f>
        <v/>
      </c>
      <c r="I303" s="30" t="str">
        <f>KT_10!$K$43</f>
        <v/>
      </c>
    </row>
    <row r="304" ht="15.75" customHeight="1">
      <c r="A304" s="26"/>
      <c r="B304" s="26"/>
      <c r="C304" s="26"/>
      <c r="D304" s="29"/>
      <c r="E304" s="26"/>
      <c r="F304" s="26" t="str">
        <f>KT_11!$B$4</f>
        <v/>
      </c>
      <c r="G304" s="26" t="str">
        <f>KT_11!$A$14</f>
        <v/>
      </c>
      <c r="H304" s="15" t="str">
        <f>KT_11!$B$14</f>
        <v/>
      </c>
      <c r="I304" s="30" t="str">
        <f>KT_11!$K$14</f>
        <v/>
      </c>
    </row>
    <row r="305" ht="15.75" customHeight="1">
      <c r="A305" s="26"/>
      <c r="B305" s="26"/>
      <c r="C305" s="26"/>
      <c r="D305" s="29"/>
      <c r="E305" s="26"/>
      <c r="F305" s="26" t="str">
        <f>KT_11!$B$4</f>
        <v/>
      </c>
      <c r="G305" s="26" t="str">
        <f>KT_11!$A$15</f>
        <v/>
      </c>
      <c r="H305" s="15" t="str">
        <f>KT_11!$B$15</f>
        <v/>
      </c>
      <c r="I305" s="30" t="str">
        <f>KT_11!$K$15</f>
        <v/>
      </c>
    </row>
    <row r="306" ht="15.75" customHeight="1">
      <c r="A306" s="26"/>
      <c r="B306" s="26"/>
      <c r="C306" s="26"/>
      <c r="D306" s="29"/>
      <c r="E306" s="26"/>
      <c r="F306" s="26" t="str">
        <f>KT_11!$B$4</f>
        <v/>
      </c>
      <c r="G306" s="26" t="str">
        <f>KT_11!$A$16</f>
        <v/>
      </c>
      <c r="H306" s="15" t="str">
        <f>KT_11!$B$16</f>
        <v/>
      </c>
      <c r="I306" s="30" t="str">
        <f>KT_11!$K$16</f>
        <v/>
      </c>
    </row>
    <row r="307" ht="15.75" customHeight="1">
      <c r="A307" s="26"/>
      <c r="B307" s="26"/>
      <c r="C307" s="26"/>
      <c r="D307" s="29"/>
      <c r="E307" s="26"/>
      <c r="F307" s="26" t="str">
        <f>KT_11!$B$4</f>
        <v/>
      </c>
      <c r="G307" s="26" t="str">
        <f>KT_11!$A$17</f>
        <v/>
      </c>
      <c r="H307" s="15" t="str">
        <f>KT_11!$B$17</f>
        <v/>
      </c>
      <c r="I307" s="30" t="str">
        <f>KT_11!$K$17</f>
        <v/>
      </c>
    </row>
    <row r="308" ht="15.75" customHeight="1">
      <c r="A308" s="26"/>
      <c r="B308" s="26"/>
      <c r="C308" s="26"/>
      <c r="D308" s="29"/>
      <c r="E308" s="26"/>
      <c r="F308" s="26" t="str">
        <f>KT_11!$B$4</f>
        <v/>
      </c>
      <c r="G308" s="26" t="str">
        <f>KT_11!$A$18</f>
        <v/>
      </c>
      <c r="H308" s="15" t="str">
        <f>KT_11!$B$18</f>
        <v/>
      </c>
      <c r="I308" s="30" t="str">
        <f>KT_11!$K$18</f>
        <v/>
      </c>
    </row>
    <row r="309" ht="15.75" customHeight="1">
      <c r="A309" s="26"/>
      <c r="B309" s="26"/>
      <c r="C309" s="26"/>
      <c r="D309" s="29"/>
      <c r="E309" s="26"/>
      <c r="F309" s="26" t="str">
        <f>KT_11!$B$4</f>
        <v/>
      </c>
      <c r="G309" s="26" t="str">
        <f>KT_11!$A$19</f>
        <v/>
      </c>
      <c r="H309" s="15" t="str">
        <f>KT_11!$B$19</f>
        <v/>
      </c>
      <c r="I309" s="30" t="str">
        <f>KT_11!$K$19</f>
        <v/>
      </c>
    </row>
    <row r="310" ht="15.75" customHeight="1">
      <c r="A310" s="26"/>
      <c r="B310" s="26"/>
      <c r="C310" s="26"/>
      <c r="D310" s="29"/>
      <c r="E310" s="26"/>
      <c r="F310" s="26" t="str">
        <f>KT_11!$B$4</f>
        <v/>
      </c>
      <c r="G310" s="26" t="str">
        <f>KT_11!$A$20</f>
        <v/>
      </c>
      <c r="H310" s="15" t="str">
        <f>KT_11!$B$20</f>
        <v/>
      </c>
      <c r="I310" s="30" t="str">
        <f>KT_11!$K$20</f>
        <v/>
      </c>
    </row>
    <row r="311" ht="15.75" customHeight="1">
      <c r="A311" s="26"/>
      <c r="B311" s="26"/>
      <c r="C311" s="26"/>
      <c r="D311" s="29"/>
      <c r="E311" s="26"/>
      <c r="F311" s="26" t="str">
        <f>KT_11!$B$4</f>
        <v/>
      </c>
      <c r="G311" s="26" t="str">
        <f>KT_11!$A$21</f>
        <v/>
      </c>
      <c r="H311" s="15" t="str">
        <f>KT_11!$B$21</f>
        <v/>
      </c>
      <c r="I311" s="30" t="str">
        <f>KT_11!$K$21</f>
        <v/>
      </c>
    </row>
    <row r="312" ht="15.75" customHeight="1">
      <c r="A312" s="26"/>
      <c r="B312" s="26"/>
      <c r="C312" s="26"/>
      <c r="D312" s="29"/>
      <c r="E312" s="26"/>
      <c r="F312" s="26" t="str">
        <f>KT_11!$B$4</f>
        <v/>
      </c>
      <c r="G312" s="26" t="str">
        <f>KT_11!$A$22</f>
        <v/>
      </c>
      <c r="H312" s="15" t="str">
        <f>KT_11!$B$22</f>
        <v/>
      </c>
      <c r="I312" s="30" t="str">
        <f>KT_11!$K$22</f>
        <v/>
      </c>
    </row>
    <row r="313" ht="15.75" customHeight="1">
      <c r="A313" s="26"/>
      <c r="B313" s="26"/>
      <c r="C313" s="26"/>
      <c r="D313" s="29"/>
      <c r="E313" s="26"/>
      <c r="F313" s="26" t="str">
        <f>KT_11!$B$4</f>
        <v/>
      </c>
      <c r="G313" s="26" t="str">
        <f>KT_11!$A$23</f>
        <v/>
      </c>
      <c r="H313" s="15" t="str">
        <f>KT_11!$B$23</f>
        <v/>
      </c>
      <c r="I313" s="30" t="str">
        <f>KT_11!$K$23</f>
        <v/>
      </c>
    </row>
    <row r="314" ht="15.75" customHeight="1">
      <c r="A314" s="26"/>
      <c r="B314" s="26"/>
      <c r="C314" s="26"/>
      <c r="D314" s="29"/>
      <c r="E314" s="26"/>
      <c r="F314" s="26" t="str">
        <f>KT_11!$B$4</f>
        <v/>
      </c>
      <c r="G314" s="26" t="str">
        <f>KT_11!$A$24</f>
        <v/>
      </c>
      <c r="H314" s="15" t="str">
        <f>KT_11!$B$24</f>
        <v/>
      </c>
      <c r="I314" s="30" t="str">
        <f>KT_11!$K$24</f>
        <v/>
      </c>
    </row>
    <row r="315" ht="15.75" customHeight="1">
      <c r="A315" s="26"/>
      <c r="B315" s="26"/>
      <c r="C315" s="26"/>
      <c r="D315" s="29"/>
      <c r="E315" s="26"/>
      <c r="F315" s="26" t="str">
        <f>KT_11!$B$4</f>
        <v/>
      </c>
      <c r="G315" s="26" t="str">
        <f>KT_11!$A$25</f>
        <v/>
      </c>
      <c r="H315" s="15" t="str">
        <f>KT_11!$B$25</f>
        <v/>
      </c>
      <c r="I315" s="30" t="str">
        <f>KT_11!$K$25</f>
        <v/>
      </c>
    </row>
    <row r="316" ht="15.75" customHeight="1">
      <c r="A316" s="26"/>
      <c r="B316" s="26"/>
      <c r="C316" s="26"/>
      <c r="D316" s="29"/>
      <c r="E316" s="26"/>
      <c r="F316" s="26" t="str">
        <f>KT_11!$B$4</f>
        <v/>
      </c>
      <c r="G316" s="26" t="str">
        <f>KT_11!$A$26</f>
        <v/>
      </c>
      <c r="H316" s="15" t="str">
        <f>KT_11!$B$26</f>
        <v/>
      </c>
      <c r="I316" s="30" t="str">
        <f>KT_11!$K$26</f>
        <v/>
      </c>
    </row>
    <row r="317" ht="15.75" customHeight="1">
      <c r="A317" s="26"/>
      <c r="B317" s="26"/>
      <c r="C317" s="26"/>
      <c r="D317" s="29"/>
      <c r="E317" s="26"/>
      <c r="F317" s="26" t="str">
        <f>KT_11!$B$4</f>
        <v/>
      </c>
      <c r="G317" s="26" t="str">
        <f>KT_11!$A$27</f>
        <v/>
      </c>
      <c r="H317" s="15" t="str">
        <f>KT_11!$B$27</f>
        <v/>
      </c>
      <c r="I317" s="30" t="str">
        <f>KT_11!$K$27</f>
        <v/>
      </c>
    </row>
    <row r="318" ht="15.75" customHeight="1">
      <c r="A318" s="26"/>
      <c r="B318" s="26"/>
      <c r="C318" s="26"/>
      <c r="D318" s="29"/>
      <c r="E318" s="26"/>
      <c r="F318" s="26" t="str">
        <f>KT_11!$B$4</f>
        <v/>
      </c>
      <c r="G318" s="26" t="str">
        <f>KT_11!$A$28</f>
        <v/>
      </c>
      <c r="H318" s="15" t="str">
        <f>KT_11!$B$28</f>
        <v/>
      </c>
      <c r="I318" s="30" t="str">
        <f>KT_11!$K$28</f>
        <v/>
      </c>
    </row>
    <row r="319" ht="15.75" customHeight="1">
      <c r="A319" s="26"/>
      <c r="B319" s="26"/>
      <c r="C319" s="26"/>
      <c r="D319" s="29"/>
      <c r="E319" s="26"/>
      <c r="F319" s="26" t="str">
        <f>KT_11!$B$4</f>
        <v/>
      </c>
      <c r="G319" s="26" t="str">
        <f>KT_11!$A$29</f>
        <v/>
      </c>
      <c r="H319" s="15" t="str">
        <f>KT_11!$B$29</f>
        <v/>
      </c>
      <c r="I319" s="30" t="str">
        <f>KT_11!$K$29</f>
        <v/>
      </c>
    </row>
    <row r="320" ht="15.75" customHeight="1">
      <c r="A320" s="26"/>
      <c r="B320" s="26"/>
      <c r="C320" s="26"/>
      <c r="D320" s="29"/>
      <c r="E320" s="26"/>
      <c r="F320" s="26" t="str">
        <f>KT_11!$B$4</f>
        <v/>
      </c>
      <c r="G320" s="26" t="str">
        <f>KT_11!$A$30</f>
        <v/>
      </c>
      <c r="H320" s="15" t="str">
        <f>KT_11!$B$30</f>
        <v/>
      </c>
      <c r="I320" s="30" t="str">
        <f>KT_11!$K$30</f>
        <v/>
      </c>
    </row>
    <row r="321" ht="15.75" customHeight="1">
      <c r="A321" s="26"/>
      <c r="B321" s="26"/>
      <c r="C321" s="26"/>
      <c r="D321" s="29"/>
      <c r="E321" s="26"/>
      <c r="F321" s="26" t="str">
        <f>KT_11!$B$4</f>
        <v/>
      </c>
      <c r="G321" s="26" t="str">
        <f>KT_11!$A$31</f>
        <v/>
      </c>
      <c r="H321" s="15" t="str">
        <f>KT_11!$B$31</f>
        <v/>
      </c>
      <c r="I321" s="30" t="str">
        <f>KT_11!$K$31</f>
        <v/>
      </c>
    </row>
    <row r="322" ht="15.75" customHeight="1">
      <c r="A322" s="26"/>
      <c r="B322" s="26"/>
      <c r="C322" s="26"/>
      <c r="D322" s="29"/>
      <c r="E322" s="26"/>
      <c r="F322" s="26" t="str">
        <f>KT_11!$B$4</f>
        <v/>
      </c>
      <c r="G322" s="26" t="str">
        <f>KT_11!$A$32</f>
        <v/>
      </c>
      <c r="H322" s="15" t="str">
        <f>KT_11!$B$32</f>
        <v/>
      </c>
      <c r="I322" s="30" t="str">
        <f>KT_11!$K$32</f>
        <v/>
      </c>
    </row>
    <row r="323" ht="15.75" customHeight="1">
      <c r="A323" s="26"/>
      <c r="B323" s="26"/>
      <c r="C323" s="26"/>
      <c r="D323" s="29"/>
      <c r="E323" s="26"/>
      <c r="F323" s="26" t="str">
        <f>KT_11!$B$4</f>
        <v/>
      </c>
      <c r="G323" s="26" t="str">
        <f>KT_11!$A$33</f>
        <v/>
      </c>
      <c r="H323" s="15" t="str">
        <f>KT_11!$B$33</f>
        <v/>
      </c>
      <c r="I323" s="30" t="str">
        <f>KT_11!$K$33</f>
        <v/>
      </c>
    </row>
    <row r="324" ht="15.75" customHeight="1">
      <c r="A324" s="26"/>
      <c r="B324" s="26"/>
      <c r="C324" s="26"/>
      <c r="D324" s="29"/>
      <c r="E324" s="26"/>
      <c r="F324" s="26" t="str">
        <f>KT_11!$B$4</f>
        <v/>
      </c>
      <c r="G324" s="26" t="str">
        <f>KT_11!$A$34</f>
        <v/>
      </c>
      <c r="H324" s="15" t="str">
        <f>KT_11!$B$34</f>
        <v/>
      </c>
      <c r="I324" s="30" t="str">
        <f>KT_11!$K$34</f>
        <v/>
      </c>
    </row>
    <row r="325" ht="15.75" customHeight="1">
      <c r="A325" s="26"/>
      <c r="B325" s="26"/>
      <c r="C325" s="26"/>
      <c r="D325" s="29"/>
      <c r="E325" s="26"/>
      <c r="F325" s="26" t="str">
        <f>KT_11!$B$4</f>
        <v/>
      </c>
      <c r="G325" s="26" t="str">
        <f>KT_11!$A$35</f>
        <v/>
      </c>
      <c r="H325" s="15" t="str">
        <f>KT_11!$B$35</f>
        <v/>
      </c>
      <c r="I325" s="30" t="str">
        <f>KT_11!$K$35</f>
        <v/>
      </c>
    </row>
    <row r="326" ht="15.75" customHeight="1">
      <c r="A326" s="26"/>
      <c r="B326" s="26"/>
      <c r="C326" s="26"/>
      <c r="D326" s="29"/>
      <c r="E326" s="26"/>
      <c r="F326" s="26" t="str">
        <f>KT_11!$B$4</f>
        <v/>
      </c>
      <c r="G326" s="26" t="str">
        <f>KT_11!$A$36</f>
        <v/>
      </c>
      <c r="H326" s="15" t="str">
        <f>KT_11!$B$36</f>
        <v/>
      </c>
      <c r="I326" s="30" t="str">
        <f>KT_11!$K$36</f>
        <v/>
      </c>
    </row>
    <row r="327" ht="15.75" customHeight="1">
      <c r="A327" s="26"/>
      <c r="B327" s="26"/>
      <c r="C327" s="26"/>
      <c r="D327" s="29"/>
      <c r="E327" s="26"/>
      <c r="F327" s="26" t="str">
        <f>KT_11!$B$4</f>
        <v/>
      </c>
      <c r="G327" s="26" t="str">
        <f>KT_11!$A$37</f>
        <v/>
      </c>
      <c r="H327" s="15" t="str">
        <f>KT_11!$B$37</f>
        <v/>
      </c>
      <c r="I327" s="30" t="str">
        <f>KT_11!$K$37</f>
        <v/>
      </c>
    </row>
    <row r="328" ht="15.75" customHeight="1">
      <c r="A328" s="26"/>
      <c r="B328" s="26"/>
      <c r="C328" s="26"/>
      <c r="D328" s="29"/>
      <c r="E328" s="26"/>
      <c r="F328" s="26" t="str">
        <f>KT_11!$B$4</f>
        <v/>
      </c>
      <c r="G328" s="26" t="str">
        <f>KT_11!$A$38</f>
        <v/>
      </c>
      <c r="H328" s="15" t="str">
        <f>KT_11!$B$38</f>
        <v/>
      </c>
      <c r="I328" s="30" t="str">
        <f>KT_11!$K$38</f>
        <v/>
      </c>
    </row>
    <row r="329" ht="15.75" customHeight="1">
      <c r="A329" s="26"/>
      <c r="B329" s="26"/>
      <c r="C329" s="26"/>
      <c r="D329" s="29"/>
      <c r="E329" s="26"/>
      <c r="F329" s="26" t="str">
        <f>KT_11!$B$4</f>
        <v/>
      </c>
      <c r="G329" s="26" t="str">
        <f>KT_11!$A$39</f>
        <v/>
      </c>
      <c r="H329" s="15" t="str">
        <f>KT_11!$B$39</f>
        <v/>
      </c>
      <c r="I329" s="30" t="str">
        <f>KT_11!$K$39</f>
        <v/>
      </c>
    </row>
    <row r="330" ht="15.75" customHeight="1">
      <c r="A330" s="26"/>
      <c r="B330" s="26"/>
      <c r="C330" s="26"/>
      <c r="D330" s="29"/>
      <c r="E330" s="26"/>
      <c r="F330" s="26" t="str">
        <f>KT_11!$B$4</f>
        <v/>
      </c>
      <c r="G330" s="26" t="str">
        <f>KT_11!$A$40</f>
        <v/>
      </c>
      <c r="H330" s="15" t="str">
        <f>KT_11!$B$40</f>
        <v/>
      </c>
      <c r="I330" s="30" t="str">
        <f>KT_11!$K$40</f>
        <v/>
      </c>
    </row>
    <row r="331" ht="15.75" customHeight="1">
      <c r="A331" s="26"/>
      <c r="B331" s="26"/>
      <c r="C331" s="26"/>
      <c r="D331" s="29"/>
      <c r="E331" s="26"/>
      <c r="F331" s="26" t="str">
        <f>KT_11!$B$4</f>
        <v/>
      </c>
      <c r="G331" s="26" t="str">
        <f>KT_11!$A$41</f>
        <v/>
      </c>
      <c r="H331" s="15" t="str">
        <f>KT_11!$B$41</f>
        <v/>
      </c>
      <c r="I331" s="30" t="str">
        <f>KT_11!$K$41</f>
        <v/>
      </c>
    </row>
    <row r="332" ht="15.75" customHeight="1">
      <c r="A332" s="26"/>
      <c r="B332" s="26"/>
      <c r="C332" s="26"/>
      <c r="D332" s="29"/>
      <c r="E332" s="26"/>
      <c r="F332" s="26" t="str">
        <f>KT_11!$B$4</f>
        <v/>
      </c>
      <c r="G332" s="26" t="str">
        <f>KT_11!$A$42</f>
        <v/>
      </c>
      <c r="H332" s="15" t="str">
        <f>KT_11!$B$42</f>
        <v/>
      </c>
      <c r="I332" s="30" t="str">
        <f>KT_11!$K$42</f>
        <v/>
      </c>
    </row>
    <row r="333" ht="15.75" customHeight="1">
      <c r="A333" s="26"/>
      <c r="B333" s="26"/>
      <c r="C333" s="26"/>
      <c r="D333" s="29"/>
      <c r="E333" s="26"/>
      <c r="F333" s="26" t="str">
        <f>KT_11!$B$4</f>
        <v/>
      </c>
      <c r="G333" s="26" t="str">
        <f>KT_11!$A$43</f>
        <v/>
      </c>
      <c r="H333" s="15" t="str">
        <f>KT_11!$B$43</f>
        <v/>
      </c>
      <c r="I333" s="30" t="str">
        <f>KT_11!$K$43</f>
        <v/>
      </c>
    </row>
    <row r="334" ht="15.75" customHeight="1">
      <c r="A334" s="26"/>
      <c r="B334" s="26"/>
      <c r="C334" s="26"/>
      <c r="D334" s="29"/>
      <c r="E334" s="26"/>
      <c r="F334" s="26" t="str">
        <f>KT_12!$B$4</f>
        <v/>
      </c>
      <c r="G334" s="26" t="str">
        <f>KT_12!$A$14</f>
        <v/>
      </c>
      <c r="H334" s="15" t="str">
        <f>KT_12!$B$14</f>
        <v/>
      </c>
      <c r="I334" s="30" t="str">
        <f>KT_12!$K$14</f>
        <v/>
      </c>
    </row>
    <row r="335" ht="15.75" customHeight="1">
      <c r="A335" s="26"/>
      <c r="B335" s="26"/>
      <c r="C335" s="26"/>
      <c r="D335" s="29"/>
      <c r="E335" s="26"/>
      <c r="F335" s="26" t="str">
        <f>KT_12!$B$4</f>
        <v/>
      </c>
      <c r="G335" s="26" t="str">
        <f>KT_12!$A$15</f>
        <v/>
      </c>
      <c r="H335" s="15" t="str">
        <f>KT_12!$B$15</f>
        <v/>
      </c>
      <c r="I335" s="30" t="str">
        <f>KT_12!$K$15</f>
        <v/>
      </c>
    </row>
    <row r="336" ht="15.75" customHeight="1">
      <c r="A336" s="26"/>
      <c r="B336" s="26"/>
      <c r="C336" s="26"/>
      <c r="D336" s="29"/>
      <c r="E336" s="26"/>
      <c r="F336" s="26" t="str">
        <f>KT_12!$B$4</f>
        <v/>
      </c>
      <c r="G336" s="26" t="str">
        <f>KT_12!$A$16</f>
        <v/>
      </c>
      <c r="H336" s="15" t="str">
        <f>KT_12!$B$16</f>
        <v/>
      </c>
      <c r="I336" s="30" t="str">
        <f>KT_12!$K$16</f>
        <v/>
      </c>
    </row>
    <row r="337" ht="15.75" customHeight="1">
      <c r="A337" s="26"/>
      <c r="B337" s="26"/>
      <c r="C337" s="26"/>
      <c r="D337" s="29"/>
      <c r="E337" s="26"/>
      <c r="F337" s="26" t="str">
        <f>KT_12!$B$4</f>
        <v/>
      </c>
      <c r="G337" s="26" t="str">
        <f>KT_12!$A$17</f>
        <v/>
      </c>
      <c r="H337" s="15" t="str">
        <f>KT_12!$B$17</f>
        <v/>
      </c>
      <c r="I337" s="30" t="str">
        <f>KT_12!$K$17</f>
        <v/>
      </c>
    </row>
    <row r="338" ht="15.75" customHeight="1">
      <c r="A338" s="26"/>
      <c r="B338" s="26"/>
      <c r="C338" s="26"/>
      <c r="D338" s="29"/>
      <c r="E338" s="26"/>
      <c r="F338" s="26" t="str">
        <f>KT_12!$B$4</f>
        <v/>
      </c>
      <c r="G338" s="26" t="str">
        <f>KT_12!$A$18</f>
        <v/>
      </c>
      <c r="H338" s="15" t="str">
        <f>KT_12!$B$18</f>
        <v/>
      </c>
      <c r="I338" s="30" t="str">
        <f>KT_12!$K$18</f>
        <v/>
      </c>
    </row>
    <row r="339" ht="15.75" customHeight="1">
      <c r="A339" s="26"/>
      <c r="B339" s="26"/>
      <c r="C339" s="26"/>
      <c r="D339" s="29"/>
      <c r="E339" s="26"/>
      <c r="F339" s="26" t="str">
        <f>KT_12!$B$4</f>
        <v/>
      </c>
      <c r="G339" s="26" t="str">
        <f>KT_12!$A$19</f>
        <v/>
      </c>
      <c r="H339" s="15" t="str">
        <f>KT_12!$B$19</f>
        <v/>
      </c>
      <c r="I339" s="30" t="str">
        <f>KT_12!$K$19</f>
        <v/>
      </c>
    </row>
    <row r="340" ht="15.75" customHeight="1">
      <c r="A340" s="26"/>
      <c r="B340" s="26"/>
      <c r="C340" s="26"/>
      <c r="D340" s="29"/>
      <c r="E340" s="26"/>
      <c r="F340" s="26" t="str">
        <f>KT_12!$B$4</f>
        <v/>
      </c>
      <c r="G340" s="26" t="str">
        <f>KT_12!$A$20</f>
        <v/>
      </c>
      <c r="H340" s="15" t="str">
        <f>KT_12!$B$20</f>
        <v/>
      </c>
      <c r="I340" s="30" t="str">
        <f>KT_12!$K$20</f>
        <v/>
      </c>
    </row>
    <row r="341" ht="15.75" customHeight="1">
      <c r="A341" s="26"/>
      <c r="B341" s="26"/>
      <c r="C341" s="26"/>
      <c r="D341" s="29"/>
      <c r="E341" s="26"/>
      <c r="F341" s="26" t="str">
        <f>KT_12!$B$4</f>
        <v/>
      </c>
      <c r="G341" s="26" t="str">
        <f>KT_12!$A$21</f>
        <v/>
      </c>
      <c r="H341" s="15" t="str">
        <f>KT_12!$B$21</f>
        <v/>
      </c>
      <c r="I341" s="30" t="str">
        <f>KT_12!$K$21</f>
        <v/>
      </c>
    </row>
    <row r="342" ht="15.75" customHeight="1">
      <c r="A342" s="26"/>
      <c r="B342" s="26"/>
      <c r="C342" s="26"/>
      <c r="D342" s="29"/>
      <c r="E342" s="26"/>
      <c r="F342" s="26" t="str">
        <f>KT_12!$B$4</f>
        <v/>
      </c>
      <c r="G342" s="26" t="str">
        <f>KT_12!$A$22</f>
        <v/>
      </c>
      <c r="H342" s="15" t="str">
        <f>KT_12!$B$22</f>
        <v/>
      </c>
      <c r="I342" s="30" t="str">
        <f>KT_12!$K$22</f>
        <v/>
      </c>
    </row>
    <row r="343" ht="15.75" customHeight="1">
      <c r="A343" s="26"/>
      <c r="B343" s="26"/>
      <c r="C343" s="26"/>
      <c r="D343" s="29"/>
      <c r="E343" s="26"/>
      <c r="F343" s="26" t="str">
        <f>KT_12!$B$4</f>
        <v/>
      </c>
      <c r="G343" s="26" t="str">
        <f>KT_12!$A$23</f>
        <v/>
      </c>
      <c r="H343" s="15" t="str">
        <f>KT_12!$B$23</f>
        <v/>
      </c>
      <c r="I343" s="30" t="str">
        <f>KT_12!$K$23</f>
        <v/>
      </c>
    </row>
    <row r="344" ht="15.75" customHeight="1">
      <c r="A344" s="26"/>
      <c r="B344" s="26"/>
      <c r="C344" s="26"/>
      <c r="D344" s="29"/>
      <c r="E344" s="26"/>
      <c r="F344" s="26" t="str">
        <f>KT_12!$B$4</f>
        <v/>
      </c>
      <c r="G344" s="26" t="str">
        <f>KT_12!$A$24</f>
        <v/>
      </c>
      <c r="H344" s="15" t="str">
        <f>KT_12!$B$24</f>
        <v/>
      </c>
      <c r="I344" s="30" t="str">
        <f>KT_12!$K$24</f>
        <v/>
      </c>
    </row>
    <row r="345" ht="15.75" customHeight="1">
      <c r="A345" s="26"/>
      <c r="B345" s="26"/>
      <c r="C345" s="26"/>
      <c r="D345" s="29"/>
      <c r="E345" s="26"/>
      <c r="F345" s="26" t="str">
        <f>KT_12!$B$4</f>
        <v/>
      </c>
      <c r="G345" s="26" t="str">
        <f>KT_12!$A$25</f>
        <v/>
      </c>
      <c r="H345" s="15" t="str">
        <f>KT_12!$B$25</f>
        <v/>
      </c>
      <c r="I345" s="30" t="str">
        <f>KT_12!$K$25</f>
        <v/>
      </c>
    </row>
    <row r="346" ht="15.75" customHeight="1">
      <c r="A346" s="26"/>
      <c r="B346" s="26"/>
      <c r="C346" s="26"/>
      <c r="D346" s="29"/>
      <c r="E346" s="26"/>
      <c r="F346" s="26" t="str">
        <f>KT_12!$B$4</f>
        <v/>
      </c>
      <c r="G346" s="26" t="str">
        <f>KT_12!$A$26</f>
        <v/>
      </c>
      <c r="H346" s="15" t="str">
        <f>KT_12!$B$26</f>
        <v/>
      </c>
      <c r="I346" s="30" t="str">
        <f>KT_12!$K$26</f>
        <v/>
      </c>
    </row>
    <row r="347" ht="15.75" customHeight="1">
      <c r="A347" s="26"/>
      <c r="B347" s="26"/>
      <c r="C347" s="26"/>
      <c r="D347" s="29"/>
      <c r="E347" s="26"/>
      <c r="F347" s="26" t="str">
        <f>KT_12!$B$4</f>
        <v/>
      </c>
      <c r="G347" s="26" t="str">
        <f>KT_12!$A$27</f>
        <v/>
      </c>
      <c r="H347" s="15" t="str">
        <f>KT_12!$B$27</f>
        <v/>
      </c>
      <c r="I347" s="30" t="str">
        <f>KT_12!$K$27</f>
        <v/>
      </c>
    </row>
    <row r="348" ht="15.75" customHeight="1">
      <c r="A348" s="26"/>
      <c r="B348" s="26"/>
      <c r="C348" s="26"/>
      <c r="D348" s="29"/>
      <c r="E348" s="26"/>
      <c r="F348" s="26" t="str">
        <f>KT_12!$B$4</f>
        <v/>
      </c>
      <c r="G348" s="26" t="str">
        <f>KT_12!$A$28</f>
        <v/>
      </c>
      <c r="H348" s="15" t="str">
        <f>KT_12!$B$28</f>
        <v/>
      </c>
      <c r="I348" s="30" t="str">
        <f>KT_12!$K$28</f>
        <v/>
      </c>
    </row>
    <row r="349" ht="15.75" customHeight="1">
      <c r="A349" s="26"/>
      <c r="B349" s="26"/>
      <c r="C349" s="26"/>
      <c r="D349" s="29"/>
      <c r="E349" s="26"/>
      <c r="F349" s="26" t="str">
        <f>KT_12!$B$4</f>
        <v/>
      </c>
      <c r="G349" s="26" t="str">
        <f>KT_12!$A$29</f>
        <v/>
      </c>
      <c r="H349" s="15" t="str">
        <f>KT_12!$B$29</f>
        <v/>
      </c>
      <c r="I349" s="30" t="str">
        <f>KT_12!$K$29</f>
        <v/>
      </c>
    </row>
    <row r="350" ht="15.75" customHeight="1">
      <c r="A350" s="26"/>
      <c r="B350" s="26"/>
      <c r="C350" s="26"/>
      <c r="D350" s="29"/>
      <c r="E350" s="26"/>
      <c r="F350" s="26" t="str">
        <f>KT_12!$B$4</f>
        <v/>
      </c>
      <c r="G350" s="26" t="str">
        <f>KT_12!$A$30</f>
        <v/>
      </c>
      <c r="H350" s="15" t="str">
        <f>KT_12!$B$30</f>
        <v/>
      </c>
      <c r="I350" s="30" t="str">
        <f>KT_12!$K$30</f>
        <v/>
      </c>
    </row>
    <row r="351" ht="15.75" customHeight="1">
      <c r="A351" s="26"/>
      <c r="B351" s="26"/>
      <c r="C351" s="26"/>
      <c r="D351" s="29"/>
      <c r="E351" s="26"/>
      <c r="F351" s="26" t="str">
        <f>KT_12!$B$4</f>
        <v/>
      </c>
      <c r="G351" s="26" t="str">
        <f>KT_12!$A$31</f>
        <v/>
      </c>
      <c r="H351" s="15" t="str">
        <f>KT_12!$B$31</f>
        <v/>
      </c>
      <c r="I351" s="30" t="str">
        <f>KT_12!$K$31</f>
        <v/>
      </c>
    </row>
    <row r="352" ht="15.75" customHeight="1">
      <c r="A352" s="26"/>
      <c r="B352" s="26"/>
      <c r="C352" s="26"/>
      <c r="D352" s="29"/>
      <c r="E352" s="26"/>
      <c r="F352" s="26" t="str">
        <f>KT_12!$B$4</f>
        <v/>
      </c>
      <c r="G352" s="26" t="str">
        <f>KT_12!$A$32</f>
        <v/>
      </c>
      <c r="H352" s="15" t="str">
        <f>KT_12!$B$32</f>
        <v/>
      </c>
      <c r="I352" s="30" t="str">
        <f>KT_12!$K$32</f>
        <v/>
      </c>
    </row>
    <row r="353" ht="15.75" customHeight="1">
      <c r="A353" s="26"/>
      <c r="B353" s="26"/>
      <c r="C353" s="26"/>
      <c r="D353" s="29"/>
      <c r="E353" s="26"/>
      <c r="F353" s="26" t="str">
        <f>KT_12!$B$4</f>
        <v/>
      </c>
      <c r="G353" s="26" t="str">
        <f>KT_12!$A$33</f>
        <v/>
      </c>
      <c r="H353" s="15" t="str">
        <f>KT_12!$B$33</f>
        <v/>
      </c>
      <c r="I353" s="30" t="str">
        <f>KT_12!$K$33</f>
        <v/>
      </c>
    </row>
    <row r="354" ht="15.75" customHeight="1">
      <c r="A354" s="26"/>
      <c r="B354" s="26"/>
      <c r="C354" s="26"/>
      <c r="D354" s="29"/>
      <c r="E354" s="26"/>
      <c r="F354" s="26" t="str">
        <f>KT_12!$B$4</f>
        <v/>
      </c>
      <c r="G354" s="26" t="str">
        <f>KT_12!$A$34</f>
        <v/>
      </c>
      <c r="H354" s="15" t="str">
        <f>KT_12!$B$34</f>
        <v/>
      </c>
      <c r="I354" s="30" t="str">
        <f>KT_12!$K$34</f>
        <v/>
      </c>
    </row>
    <row r="355" ht="15.75" customHeight="1">
      <c r="A355" s="26"/>
      <c r="B355" s="26"/>
      <c r="C355" s="26"/>
      <c r="D355" s="29"/>
      <c r="E355" s="26"/>
      <c r="F355" s="26" t="str">
        <f>KT_12!$B$4</f>
        <v/>
      </c>
      <c r="G355" s="26" t="str">
        <f>KT_12!$A$35</f>
        <v/>
      </c>
      <c r="H355" s="15" t="str">
        <f>KT_12!$B$35</f>
        <v/>
      </c>
      <c r="I355" s="30" t="str">
        <f>KT_12!$K$35</f>
        <v/>
      </c>
    </row>
    <row r="356" ht="15.75" customHeight="1">
      <c r="A356" s="26"/>
      <c r="B356" s="26"/>
      <c r="C356" s="26"/>
      <c r="D356" s="29"/>
      <c r="E356" s="26"/>
      <c r="F356" s="26" t="str">
        <f>KT_12!$B$4</f>
        <v/>
      </c>
      <c r="G356" s="26" t="str">
        <f>KT_12!$A$36</f>
        <v/>
      </c>
      <c r="H356" s="15" t="str">
        <f>KT_12!$B$36</f>
        <v/>
      </c>
      <c r="I356" s="30" t="str">
        <f>KT_12!$K$36</f>
        <v/>
      </c>
    </row>
    <row r="357" ht="15.75" customHeight="1">
      <c r="A357" s="26"/>
      <c r="B357" s="26"/>
      <c r="C357" s="26"/>
      <c r="D357" s="29"/>
      <c r="E357" s="26"/>
      <c r="F357" s="26" t="str">
        <f>KT_12!$B$4</f>
        <v/>
      </c>
      <c r="G357" s="26" t="str">
        <f>KT_12!$A$37</f>
        <v/>
      </c>
      <c r="H357" s="15" t="str">
        <f>KT_12!$B$37</f>
        <v/>
      </c>
      <c r="I357" s="30" t="str">
        <f>KT_12!$K$37</f>
        <v/>
      </c>
    </row>
    <row r="358" ht="15.75" customHeight="1">
      <c r="A358" s="26"/>
      <c r="B358" s="26"/>
      <c r="C358" s="26"/>
      <c r="D358" s="29"/>
      <c r="E358" s="26"/>
      <c r="F358" s="26" t="str">
        <f>KT_12!$B$4</f>
        <v/>
      </c>
      <c r="G358" s="26" t="str">
        <f>KT_12!$A$38</f>
        <v/>
      </c>
      <c r="H358" s="15" t="str">
        <f>KT_12!$B$38</f>
        <v/>
      </c>
      <c r="I358" s="30" t="str">
        <f>KT_12!$K$38</f>
        <v/>
      </c>
    </row>
    <row r="359" ht="15.75" customHeight="1">
      <c r="A359" s="26"/>
      <c r="B359" s="26"/>
      <c r="C359" s="26"/>
      <c r="D359" s="29"/>
      <c r="E359" s="26"/>
      <c r="F359" s="26" t="str">
        <f>KT_12!$B$4</f>
        <v/>
      </c>
      <c r="G359" s="26" t="str">
        <f>KT_12!$A$39</f>
        <v/>
      </c>
      <c r="H359" s="15" t="str">
        <f>KT_12!$B$39</f>
        <v/>
      </c>
      <c r="I359" s="30" t="str">
        <f>KT_12!$K$39</f>
        <v/>
      </c>
    </row>
    <row r="360" ht="15.75" customHeight="1">
      <c r="A360" s="26"/>
      <c r="B360" s="26"/>
      <c r="C360" s="26"/>
      <c r="D360" s="29"/>
      <c r="E360" s="26"/>
      <c r="F360" s="26" t="str">
        <f>KT_12!$B$4</f>
        <v/>
      </c>
      <c r="G360" s="26" t="str">
        <f>KT_12!$A$40</f>
        <v/>
      </c>
      <c r="H360" s="15" t="str">
        <f>KT_12!$B$40</f>
        <v/>
      </c>
      <c r="I360" s="30" t="str">
        <f>KT_12!$K$40</f>
        <v/>
      </c>
    </row>
    <row r="361" ht="15.75" customHeight="1">
      <c r="A361" s="26"/>
      <c r="B361" s="26"/>
      <c r="C361" s="26"/>
      <c r="D361" s="29"/>
      <c r="E361" s="26"/>
      <c r="F361" s="26" t="str">
        <f>KT_12!$B$4</f>
        <v/>
      </c>
      <c r="G361" s="26" t="str">
        <f>KT_12!$A$41</f>
        <v/>
      </c>
      <c r="H361" s="15" t="str">
        <f>KT_12!$B$41</f>
        <v/>
      </c>
      <c r="I361" s="30" t="str">
        <f>KT_12!$K$41</f>
        <v/>
      </c>
    </row>
    <row r="362" ht="15.75" customHeight="1">
      <c r="A362" s="26"/>
      <c r="B362" s="26"/>
      <c r="C362" s="26"/>
      <c r="D362" s="29"/>
      <c r="E362" s="26"/>
      <c r="F362" s="26" t="str">
        <f>KT_12!$B$4</f>
        <v/>
      </c>
      <c r="G362" s="26" t="str">
        <f>KT_12!$A$42</f>
        <v/>
      </c>
      <c r="H362" s="15" t="str">
        <f>KT_12!$B$42</f>
        <v/>
      </c>
      <c r="I362" s="30" t="str">
        <f>KT_12!$K$42</f>
        <v/>
      </c>
    </row>
    <row r="363" ht="15.75" customHeight="1">
      <c r="A363" s="26"/>
      <c r="B363" s="26"/>
      <c r="C363" s="26"/>
      <c r="D363" s="29"/>
      <c r="E363" s="26"/>
      <c r="F363" s="26" t="str">
        <f>KT_12!$B$4</f>
        <v/>
      </c>
      <c r="G363" s="26" t="str">
        <f>KT_12!$A$43</f>
        <v/>
      </c>
      <c r="H363" s="15" t="str">
        <f>KT_12!$B$43</f>
        <v/>
      </c>
      <c r="I363" s="30" t="str">
        <f>KT_12!$K$43</f>
        <v/>
      </c>
    </row>
    <row r="364" ht="15.75" customHeight="1">
      <c r="A364" s="55"/>
      <c r="B364" s="55"/>
      <c r="C364" s="55"/>
      <c r="D364" s="56"/>
    </row>
    <row r="365" ht="15.75" customHeight="1">
      <c r="A365" s="55"/>
      <c r="B365" s="55"/>
      <c r="C365" s="55"/>
      <c r="D365" s="56"/>
    </row>
    <row r="366" ht="15.75" customHeight="1">
      <c r="A366" s="55"/>
      <c r="B366" s="55"/>
      <c r="C366" s="55"/>
      <c r="D366" s="56"/>
    </row>
    <row r="367" ht="15.75" customHeight="1">
      <c r="A367" s="55"/>
      <c r="B367" s="55"/>
      <c r="C367" s="55"/>
      <c r="D367" s="56"/>
    </row>
    <row r="368" ht="15.75" customHeight="1">
      <c r="A368" s="55"/>
      <c r="B368" s="55"/>
      <c r="C368" s="55"/>
      <c r="D368" s="56"/>
    </row>
    <row r="369" ht="15.75" customHeight="1">
      <c r="A369" s="55"/>
      <c r="B369" s="55"/>
      <c r="C369" s="55"/>
      <c r="D369" s="56"/>
    </row>
    <row r="370" ht="15.75" customHeight="1">
      <c r="A370" s="55"/>
      <c r="B370" s="55"/>
      <c r="C370" s="55"/>
      <c r="D370" s="56"/>
    </row>
    <row r="371" ht="15.75" customHeight="1">
      <c r="A371" s="55"/>
      <c r="B371" s="55"/>
      <c r="C371" s="55"/>
      <c r="D371" s="56"/>
    </row>
    <row r="372" ht="15.75" customHeight="1">
      <c r="A372" s="55"/>
      <c r="B372" s="55"/>
      <c r="C372" s="55"/>
      <c r="D372" s="56"/>
    </row>
    <row r="373" ht="15.75" customHeight="1">
      <c r="A373" s="55"/>
      <c r="B373" s="55"/>
      <c r="C373" s="55"/>
      <c r="D373" s="56"/>
    </row>
    <row r="374" ht="15.75" customHeight="1">
      <c r="A374" s="55"/>
      <c r="B374" s="55"/>
      <c r="C374" s="55"/>
      <c r="D374" s="56"/>
    </row>
    <row r="375" ht="15.75" customHeight="1">
      <c r="A375" s="55"/>
      <c r="B375" s="55"/>
      <c r="C375" s="55"/>
      <c r="D375" s="56"/>
    </row>
    <row r="376" ht="15.75" customHeight="1">
      <c r="A376" s="55"/>
      <c r="B376" s="55"/>
      <c r="C376" s="55"/>
      <c r="D376" s="56"/>
    </row>
    <row r="377" ht="15.75" customHeight="1">
      <c r="A377" s="55"/>
      <c r="B377" s="55"/>
      <c r="C377" s="55"/>
      <c r="D377" s="56"/>
    </row>
    <row r="378" ht="15.75" customHeight="1">
      <c r="A378" s="55"/>
      <c r="B378" s="55"/>
      <c r="C378" s="55"/>
      <c r="D378" s="56"/>
    </row>
    <row r="379" ht="15.75" customHeight="1">
      <c r="A379" s="55"/>
      <c r="B379" s="55"/>
      <c r="C379" s="55"/>
      <c r="D379" s="56"/>
    </row>
    <row r="380" ht="15.75" customHeight="1">
      <c r="A380" s="55"/>
      <c r="B380" s="55"/>
      <c r="C380" s="55"/>
      <c r="D380" s="56"/>
    </row>
    <row r="381" ht="15.75" customHeight="1">
      <c r="A381" s="55"/>
      <c r="B381" s="55"/>
      <c r="C381" s="55"/>
      <c r="D381" s="56"/>
    </row>
    <row r="382" ht="15.75" customHeight="1">
      <c r="A382" s="55"/>
      <c r="B382" s="55"/>
      <c r="C382" s="55"/>
      <c r="D382" s="56"/>
    </row>
    <row r="383" ht="15.75" customHeight="1">
      <c r="A383" s="55"/>
      <c r="B383" s="55"/>
      <c r="C383" s="55"/>
      <c r="D383" s="56"/>
    </row>
    <row r="384" ht="15.75" customHeight="1">
      <c r="A384" s="55"/>
      <c r="B384" s="55"/>
      <c r="C384" s="55"/>
      <c r="D384" s="56"/>
    </row>
    <row r="385" ht="15.75" customHeight="1">
      <c r="A385" s="55"/>
      <c r="B385" s="55"/>
      <c r="C385" s="55"/>
      <c r="D385" s="56"/>
    </row>
    <row r="386" ht="15.75" customHeight="1">
      <c r="A386" s="55"/>
      <c r="B386" s="55"/>
      <c r="C386" s="55"/>
      <c r="D386" s="56"/>
    </row>
    <row r="387" ht="15.75" customHeight="1">
      <c r="A387" s="55"/>
      <c r="B387" s="55"/>
      <c r="C387" s="55"/>
      <c r="D387" s="56"/>
    </row>
    <row r="388" ht="15.75" customHeight="1">
      <c r="A388" s="55"/>
      <c r="B388" s="55"/>
      <c r="C388" s="55"/>
      <c r="D388" s="56"/>
    </row>
    <row r="389" ht="15.75" customHeight="1">
      <c r="A389" s="55"/>
      <c r="B389" s="55"/>
      <c r="C389" s="55"/>
      <c r="D389" s="56"/>
    </row>
    <row r="390" ht="15.75" customHeight="1">
      <c r="A390" s="55"/>
      <c r="B390" s="55"/>
      <c r="C390" s="55"/>
      <c r="D390" s="56"/>
    </row>
    <row r="391" ht="15.75" customHeight="1">
      <c r="A391" s="55"/>
      <c r="B391" s="55"/>
      <c r="C391" s="55"/>
      <c r="D391" s="56"/>
    </row>
    <row r="392" ht="15.75" customHeight="1">
      <c r="A392" s="55"/>
      <c r="B392" s="55"/>
      <c r="C392" s="55"/>
      <c r="D392" s="56"/>
    </row>
    <row r="393" ht="15.75" customHeight="1">
      <c r="A393" s="55"/>
      <c r="B393" s="55"/>
      <c r="C393" s="55"/>
      <c r="D393" s="56"/>
    </row>
    <row r="394" ht="15.75" customHeight="1">
      <c r="A394" s="55"/>
      <c r="B394" s="55"/>
      <c r="C394" s="55"/>
      <c r="D394" s="56"/>
    </row>
    <row r="395" ht="15.75" customHeight="1">
      <c r="A395" s="55"/>
      <c r="B395" s="55"/>
      <c r="C395" s="55"/>
      <c r="D395" s="56"/>
    </row>
    <row r="396" ht="15.75" customHeight="1">
      <c r="A396" s="55"/>
      <c r="B396" s="55"/>
      <c r="C396" s="55"/>
      <c r="D396" s="56"/>
    </row>
    <row r="397" ht="15.75" customHeight="1">
      <c r="A397" s="55"/>
      <c r="B397" s="55"/>
      <c r="C397" s="55"/>
      <c r="D397" s="56"/>
    </row>
    <row r="398" ht="15.75" customHeight="1">
      <c r="A398" s="55"/>
      <c r="B398" s="55"/>
      <c r="C398" s="55"/>
      <c r="D398" s="56"/>
    </row>
    <row r="399" ht="15.75" customHeight="1">
      <c r="A399" s="55"/>
      <c r="B399" s="55"/>
      <c r="C399" s="55"/>
      <c r="D399" s="56"/>
    </row>
    <row r="400" ht="15.75" customHeight="1">
      <c r="A400" s="55"/>
      <c r="B400" s="55"/>
      <c r="C400" s="55"/>
      <c r="D400" s="56"/>
    </row>
    <row r="401" ht="15.75" customHeight="1">
      <c r="A401" s="55"/>
      <c r="B401" s="55"/>
      <c r="C401" s="55"/>
      <c r="D401" s="56"/>
    </row>
    <row r="402" ht="15.75" customHeight="1">
      <c r="A402" s="55"/>
      <c r="B402" s="55"/>
      <c r="C402" s="55"/>
      <c r="D402" s="56"/>
    </row>
    <row r="403" ht="15.75" customHeight="1">
      <c r="A403" s="55"/>
      <c r="B403" s="55"/>
      <c r="C403" s="55"/>
      <c r="D403" s="56"/>
    </row>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0"/>
    <col customWidth="1" min="3" max="3" width="22.0"/>
    <col customWidth="1" min="4" max="4" width="11.0"/>
    <col customWidth="1" min="5" max="5" width="25.0"/>
    <col customWidth="1" min="6" max="7" width="11.0"/>
    <col customWidth="1" min="8" max="8" width="18.0"/>
    <col customWidth="1" min="9" max="12" width="12.0"/>
    <col customWidth="1" min="13" max="13" width="16.0"/>
    <col customWidth="1" min="14" max="15" width="12.0"/>
    <col customWidth="1" min="16" max="16" width="16.0"/>
  </cols>
  <sheetData>
    <row r="1" ht="30.0" customHeight="1">
      <c r="A1" s="1" t="s">
        <v>75</v>
      </c>
    </row>
    <row r="2">
      <c r="A2" s="3"/>
      <c r="B2" s="3"/>
      <c r="C2" s="3"/>
      <c r="D2" s="3"/>
      <c r="E2" s="3"/>
      <c r="F2" s="3"/>
      <c r="G2" s="3"/>
      <c r="H2" s="3"/>
      <c r="I2" s="3"/>
      <c r="J2" s="3"/>
      <c r="K2" s="3"/>
      <c r="L2" s="3"/>
      <c r="M2" s="3"/>
      <c r="N2" s="3"/>
      <c r="O2" s="3"/>
      <c r="P2" s="3"/>
    </row>
    <row r="3" ht="27.75" customHeight="1">
      <c r="A3" s="5" t="s">
        <v>76</v>
      </c>
      <c r="B3" s="5" t="s">
        <v>77</v>
      </c>
      <c r="C3" s="5" t="s">
        <v>16</v>
      </c>
      <c r="D3" s="5" t="s">
        <v>10</v>
      </c>
      <c r="E3" s="5" t="s">
        <v>19</v>
      </c>
      <c r="F3" s="5" t="s">
        <v>78</v>
      </c>
      <c r="G3" s="5" t="s">
        <v>79</v>
      </c>
      <c r="H3" s="5" t="s">
        <v>80</v>
      </c>
      <c r="I3" s="5" t="s">
        <v>81</v>
      </c>
      <c r="J3" s="5" t="s">
        <v>82</v>
      </c>
      <c r="K3" s="5" t="s">
        <v>83</v>
      </c>
      <c r="L3" s="5" t="s">
        <v>84</v>
      </c>
      <c r="M3" s="5" t="s">
        <v>85</v>
      </c>
      <c r="N3" s="5" t="s">
        <v>86</v>
      </c>
      <c r="O3" s="5" t="s">
        <v>87</v>
      </c>
      <c r="P3" s="5" t="s">
        <v>88</v>
      </c>
    </row>
    <row r="4">
      <c r="A4" s="31">
        <f>IFERROR(PHAN_CONG!$A$4,"")</f>
        <v>46235</v>
      </c>
      <c r="B4" s="14" t="str">
        <f>IFERROR(PHAN_CONG!$B$4,"")</f>
        <v>GV001</v>
      </c>
      <c r="C4" s="14" t="str">
        <f>IFERROR(PHAN_CONG!$C$5,"")</f>
        <v>Nguyễn Mạnh Cường</v>
      </c>
      <c r="D4" s="14" t="str">
        <f>IFERROR(PHAN_CONG!$D$4,"")</f>
        <v>L06</v>
      </c>
      <c r="E4" s="14" t="str">
        <f>IFERROR(PHAN_CONG!$E$4,"")</f>
        <v>Lớp 6 Thầy Cường</v>
      </c>
      <c r="F4" s="14">
        <f>IFERROR(PHAN_CONG!$F$4,"")</f>
        <v>7</v>
      </c>
      <c r="G4" s="14">
        <f>IFERROR(PHAN_CONG!$F$4,"")</f>
        <v>7</v>
      </c>
      <c r="H4" s="32">
        <f>IF(D4="","",SUMIF(TONG_HOP_LOP!$B$4:$B$15,D4,TONG_HOP_LOP!$G$4:$G$15))</f>
        <v>5025000</v>
      </c>
      <c r="I4" s="34">
        <f>IF(D4="","",IFERROR(VLOOKUP(D4,DANH_MUC_LOP!$B$4:$O$15,14,FALSE),DIEU_KHIEN!$B$6))</f>
        <v>0.5</v>
      </c>
      <c r="J4" s="35">
        <v>0.4</v>
      </c>
      <c r="K4" s="34">
        <f t="shared" ref="K4:K63" si="1">IF(B4="","",IF(J4="",I4,J4))</f>
        <v>0.4</v>
      </c>
      <c r="L4" s="34">
        <f t="shared" ref="L4:L63" si="2">IF(OR(F4="",G4=0),"",MIN(1,F4/G4))</f>
        <v>1</v>
      </c>
      <c r="M4" s="32">
        <f t="shared" ref="M4:M63" si="3">IF(B4="","",H4*K4*L4)</f>
        <v>2010000</v>
      </c>
      <c r="N4" s="20"/>
      <c r="O4" s="20"/>
      <c r="P4" s="36">
        <f t="shared" ref="P4:P63" si="4">IF(B4="","",MAX(0,M4+N4-O4))</f>
        <v>2010000</v>
      </c>
    </row>
    <row r="5">
      <c r="A5" s="31">
        <f>IFERROR(PHAN_CONG!$A$5,"")</f>
        <v>46235</v>
      </c>
      <c r="B5" s="14" t="str">
        <f>IFERROR(PHAN_CONG!$B$5,"")</f>
        <v>GV001</v>
      </c>
      <c r="C5" s="14" t="str">
        <f>IFERROR(PHAN_CONG!$C$5,"")</f>
        <v>Nguyễn Mạnh Cường</v>
      </c>
      <c r="D5" s="14" t="str">
        <f>IFERROR(PHAN_CONG!$D$5,"")</f>
        <v>L07</v>
      </c>
      <c r="E5" s="14" t="str">
        <f>IFERROR(PHAN_CONG!$E$5,"")</f>
        <v>Toán 7 Thầy Cường</v>
      </c>
      <c r="F5" s="14">
        <f>IFERROR(PHAN_CONG!$F$5,"")</f>
        <v>7</v>
      </c>
      <c r="G5" s="14">
        <f>IFERROR(PHAN_CONG!$F$5,"")</f>
        <v>7</v>
      </c>
      <c r="H5" s="32">
        <f>IF(D5="","",SUMIF(TONG_HOP_LOP!$B$4:$B$15,D5,TONG_HOP_LOP!$G$4:$G$15))</f>
        <v>2600000</v>
      </c>
      <c r="I5" s="34">
        <f>IF(D5="","",IFERROR(VLOOKUP(D5,DANH_MUC_LOP!$B$4:$O$15,14,FALSE),DIEU_KHIEN!$B$6))</f>
        <v>0.5</v>
      </c>
      <c r="J5" s="35">
        <v>0.4</v>
      </c>
      <c r="K5" s="34">
        <f t="shared" si="1"/>
        <v>0.4</v>
      </c>
      <c r="L5" s="34">
        <f t="shared" si="2"/>
        <v>1</v>
      </c>
      <c r="M5" s="32">
        <f t="shared" si="3"/>
        <v>1040000</v>
      </c>
      <c r="N5" s="20"/>
      <c r="O5" s="20"/>
      <c r="P5" s="36">
        <f t="shared" si="4"/>
        <v>1040000</v>
      </c>
    </row>
    <row r="6">
      <c r="A6" s="31">
        <f>IFERROR(PHAN_CONG!$A$6,"")</f>
        <v>46235</v>
      </c>
      <c r="B6" s="14" t="str">
        <f>IFERROR(PHAN_CONG!$B$6,"")</f>
        <v>GV001</v>
      </c>
      <c r="C6" s="14" t="str">
        <f>IFERROR(PHAN_CONG!$C$6,"")</f>
        <v>Nguyễn Mạnh Cường</v>
      </c>
      <c r="D6" s="14" t="str">
        <f>IFERROR(PHAN_CONG!$D$6,"")</f>
        <v>L08</v>
      </c>
      <c r="E6" s="14" t="str">
        <f>IFERROR(PHAN_CONG!$E$6,"")</f>
        <v>Toán 8 Thầy Cường</v>
      </c>
      <c r="F6" s="14">
        <f>IFERROR(PHAN_CONG!$F$6,"")</f>
        <v>7</v>
      </c>
      <c r="G6" s="14">
        <f>IFERROR(PHAN_CONG!$F$6,"")</f>
        <v>7</v>
      </c>
      <c r="H6" s="32">
        <f>IF(D6="","",SUMIF(TONG_HOP_LOP!$B$4:$B$15,D6,TONG_HOP_LOP!$G$4:$G$15))</f>
        <v>2000000</v>
      </c>
      <c r="I6" s="34">
        <f>IF(D6="","",IFERROR(VLOOKUP(D6,DANH_MUC_LOP!$B$4:$O$15,14,FALSE),DIEU_KHIEN!$B$6))</f>
        <v>0.5</v>
      </c>
      <c r="J6" s="35">
        <v>0.4</v>
      </c>
      <c r="K6" s="34">
        <f t="shared" si="1"/>
        <v>0.4</v>
      </c>
      <c r="L6" s="34">
        <f t="shared" si="2"/>
        <v>1</v>
      </c>
      <c r="M6" s="32">
        <f t="shared" si="3"/>
        <v>800000</v>
      </c>
      <c r="N6" s="20"/>
      <c r="O6" s="20"/>
      <c r="P6" s="36">
        <f t="shared" si="4"/>
        <v>800000</v>
      </c>
    </row>
    <row r="7">
      <c r="A7" s="31">
        <f>IFERROR(PHAN_CONG!$A$7,"")</f>
        <v>46235</v>
      </c>
      <c r="B7" s="14" t="str">
        <f>IFERROR(PHAN_CONG!$B$7,"")</f>
        <v>GV001</v>
      </c>
      <c r="C7" s="14" t="str">
        <f>IFERROR(PHAN_CONG!$C$7,"")</f>
        <v>Nguyễn Mạnh Cường</v>
      </c>
      <c r="D7" s="14" t="str">
        <f>IFERROR(PHAN_CONG!$D$7,"")</f>
        <v>L09</v>
      </c>
      <c r="E7" s="14" t="str">
        <f>IFERROR(PHAN_CONG!$E$7,"")</f>
        <v>Toán 9 Thầy Cường</v>
      </c>
      <c r="F7" s="14">
        <f>IFERROR(PHAN_CONG!$F$7,"")</f>
        <v>7</v>
      </c>
      <c r="G7" s="14">
        <f>IFERROR(PHAN_CONG!$F$7,"")</f>
        <v>7</v>
      </c>
      <c r="H7" s="32">
        <f>IF(D7="","",SUMIF(TONG_HOP_LOP!$B$4:$B$15,D7,TONG_HOP_LOP!$G$4:$G$15))</f>
        <v>4860000</v>
      </c>
      <c r="I7" s="34">
        <f>IF(D7="","",IFERROR(VLOOKUP(D7,DANH_MUC_LOP!$B$4:$O$15,14,FALSE),DIEU_KHIEN!$B$6))</f>
        <v>0.5</v>
      </c>
      <c r="J7" s="35">
        <v>0.4</v>
      </c>
      <c r="K7" s="34">
        <f t="shared" si="1"/>
        <v>0.4</v>
      </c>
      <c r="L7" s="34">
        <f t="shared" si="2"/>
        <v>1</v>
      </c>
      <c r="M7" s="32">
        <f t="shared" si="3"/>
        <v>1944000</v>
      </c>
      <c r="N7" s="20"/>
      <c r="O7" s="20"/>
      <c r="P7" s="36">
        <f t="shared" si="4"/>
        <v>1944000</v>
      </c>
    </row>
    <row r="8">
      <c r="A8" s="31" t="str">
        <f>IFERROR(PHAN_CONG!$A$8,"")</f>
        <v/>
      </c>
      <c r="B8" s="14" t="str">
        <f>IFERROR(PHAN_CONG!$B$8,"")</f>
        <v/>
      </c>
      <c r="C8" s="14" t="str">
        <f>IFERROR(PHAN_CONG!$C$8,"")</f>
        <v/>
      </c>
      <c r="D8" s="14" t="str">
        <f>IFERROR(PHAN_CONG!$D$8,"")</f>
        <v/>
      </c>
      <c r="E8" s="14" t="str">
        <f>IFERROR(PHAN_CONG!$E$8,"")</f>
        <v/>
      </c>
      <c r="F8" s="14" t="str">
        <f>IFERROR(PHAN_CONG!$F$8,"")</f>
        <v/>
      </c>
      <c r="G8" s="14" t="str">
        <f>IF(D8="","",SUMIF(TONG_HOP_LOP!$B$4:$B$15,D8,TONG_HOP_LOP!$E$4:$E$15))</f>
        <v/>
      </c>
      <c r="H8" s="32" t="str">
        <f>IF(D8="","",SUMIF(TONG_HOP_LOP!$B$4:$B$15,D8,TONG_HOP_LOP!$G$4:$G$15))</f>
        <v/>
      </c>
      <c r="I8" s="34" t="str">
        <f>IF(D8="","",IFERROR(VLOOKUP(D8,DANH_MUC_LOP!$B$4:$O$15,14,FALSE),DIEU_KHIEN!$B$6))</f>
        <v/>
      </c>
      <c r="J8" s="37"/>
      <c r="K8" s="34" t="str">
        <f t="shared" si="1"/>
        <v/>
      </c>
      <c r="L8" s="34" t="str">
        <f t="shared" si="2"/>
        <v/>
      </c>
      <c r="M8" s="32" t="str">
        <f t="shared" si="3"/>
        <v/>
      </c>
      <c r="N8" s="20"/>
      <c r="O8" s="20"/>
      <c r="P8" s="36" t="str">
        <f t="shared" si="4"/>
        <v/>
      </c>
    </row>
    <row r="9">
      <c r="A9" s="31" t="str">
        <f>IFERROR(PHAN_CONG!$A$9,"")</f>
        <v/>
      </c>
      <c r="B9" s="14" t="str">
        <f>IFERROR(PHAN_CONG!$B$9,"")</f>
        <v/>
      </c>
      <c r="C9" s="14" t="str">
        <f>IFERROR(PHAN_CONG!$C$9,"")</f>
        <v/>
      </c>
      <c r="D9" s="14" t="str">
        <f>IFERROR(PHAN_CONG!$D$9,"")</f>
        <v/>
      </c>
      <c r="E9" s="14" t="str">
        <f>IFERROR(PHAN_CONG!$E$9,"")</f>
        <v/>
      </c>
      <c r="F9" s="14" t="str">
        <f>IFERROR(PHAN_CONG!$F$9,"")</f>
        <v/>
      </c>
      <c r="G9" s="14" t="str">
        <f>IF(D9="","",SUMIF(TONG_HOP_LOP!$B$4:$B$15,D9,TONG_HOP_LOP!$E$4:$E$15))</f>
        <v/>
      </c>
      <c r="H9" s="32" t="str">
        <f>IF(D9="","",SUMIF(TONG_HOP_LOP!$B$4:$B$15,D9,TONG_HOP_LOP!$G$4:$G$15))</f>
        <v/>
      </c>
      <c r="I9" s="34" t="str">
        <f>IF(D9="","",IFERROR(VLOOKUP(D9,DANH_MUC_LOP!$B$4:$O$15,14,FALSE),DIEU_KHIEN!$B$6))</f>
        <v/>
      </c>
      <c r="J9" s="37"/>
      <c r="K9" s="34" t="str">
        <f t="shared" si="1"/>
        <v/>
      </c>
      <c r="L9" s="34" t="str">
        <f t="shared" si="2"/>
        <v/>
      </c>
      <c r="M9" s="32" t="str">
        <f t="shared" si="3"/>
        <v/>
      </c>
      <c r="N9" s="20"/>
      <c r="O9" s="20"/>
      <c r="P9" s="36" t="str">
        <f t="shared" si="4"/>
        <v/>
      </c>
    </row>
    <row r="10">
      <c r="A10" s="31" t="str">
        <f>IFERROR(PHAN_CONG!$A$10,"")</f>
        <v/>
      </c>
      <c r="B10" s="14" t="str">
        <f>IFERROR(PHAN_CONG!$B$10,"")</f>
        <v/>
      </c>
      <c r="C10" s="14" t="str">
        <f>IFERROR(PHAN_CONG!$C$10,"")</f>
        <v/>
      </c>
      <c r="D10" s="14" t="str">
        <f>IFERROR(PHAN_CONG!$D$10,"")</f>
        <v/>
      </c>
      <c r="E10" s="14" t="str">
        <f>IFERROR(PHAN_CONG!$E$10,"")</f>
        <v/>
      </c>
      <c r="F10" s="14" t="str">
        <f>IFERROR(PHAN_CONG!$F$10,"")</f>
        <v/>
      </c>
      <c r="G10" s="14" t="str">
        <f>IF(D10="","",SUMIF(TONG_HOP_LOP!$B$4:$B$15,D10,TONG_HOP_LOP!$E$4:$E$15))</f>
        <v/>
      </c>
      <c r="H10" s="32" t="str">
        <f>IF(D10="","",SUMIF(TONG_HOP_LOP!$B$4:$B$15,D10,TONG_HOP_LOP!$G$4:$G$15))</f>
        <v/>
      </c>
      <c r="I10" s="34" t="str">
        <f>IF(D10="","",IFERROR(VLOOKUP(D10,DANH_MUC_LOP!$B$4:$O$15,14,FALSE),DIEU_KHIEN!$B$6))</f>
        <v/>
      </c>
      <c r="J10" s="37"/>
      <c r="K10" s="34" t="str">
        <f t="shared" si="1"/>
        <v/>
      </c>
      <c r="L10" s="34" t="str">
        <f t="shared" si="2"/>
        <v/>
      </c>
      <c r="M10" s="32" t="str">
        <f t="shared" si="3"/>
        <v/>
      </c>
      <c r="N10" s="20"/>
      <c r="O10" s="20"/>
      <c r="P10" s="36" t="str">
        <f t="shared" si="4"/>
        <v/>
      </c>
    </row>
    <row r="11">
      <c r="A11" s="31" t="str">
        <f>IFERROR(PHAN_CONG!$A$11,"")</f>
        <v/>
      </c>
      <c r="B11" s="14" t="str">
        <f>IFERROR(PHAN_CONG!$B$11,"")</f>
        <v/>
      </c>
      <c r="C11" s="14" t="str">
        <f>IFERROR(PHAN_CONG!$C$11,"")</f>
        <v/>
      </c>
      <c r="D11" s="14" t="str">
        <f>IFERROR(PHAN_CONG!$D$11,"")</f>
        <v/>
      </c>
      <c r="E11" s="14" t="str">
        <f>IFERROR(PHAN_CONG!$E$11,"")</f>
        <v/>
      </c>
      <c r="F11" s="14" t="str">
        <f>IFERROR(PHAN_CONG!$F$11,"")</f>
        <v/>
      </c>
      <c r="G11" s="14" t="str">
        <f>IF(D11="","",SUMIF(TONG_HOP_LOP!$B$4:$B$15,D11,TONG_HOP_LOP!$E$4:$E$15))</f>
        <v/>
      </c>
      <c r="H11" s="32" t="str">
        <f>IF(D11="","",SUMIF(TONG_HOP_LOP!$B$4:$B$15,D11,TONG_HOP_LOP!$G$4:$G$15))</f>
        <v/>
      </c>
      <c r="I11" s="34" t="str">
        <f>IF(D11="","",IFERROR(VLOOKUP(D11,DANH_MUC_LOP!$B$4:$O$15,14,FALSE),DIEU_KHIEN!$B$6))</f>
        <v/>
      </c>
      <c r="J11" s="37"/>
      <c r="K11" s="34" t="str">
        <f t="shared" si="1"/>
        <v/>
      </c>
      <c r="L11" s="34" t="str">
        <f t="shared" si="2"/>
        <v/>
      </c>
      <c r="M11" s="32" t="str">
        <f t="shared" si="3"/>
        <v/>
      </c>
      <c r="N11" s="20"/>
      <c r="O11" s="20"/>
      <c r="P11" s="36" t="str">
        <f t="shared" si="4"/>
        <v/>
      </c>
    </row>
    <row r="12">
      <c r="A12" s="31" t="str">
        <f>IFERROR(PHAN_CONG!$A$12,"")</f>
        <v/>
      </c>
      <c r="B12" s="14" t="str">
        <f>IFERROR(PHAN_CONG!$B$12,"")</f>
        <v/>
      </c>
      <c r="C12" s="14" t="str">
        <f>IFERROR(PHAN_CONG!$C$12,"")</f>
        <v/>
      </c>
      <c r="D12" s="14" t="str">
        <f>IFERROR(PHAN_CONG!$D$12,"")</f>
        <v/>
      </c>
      <c r="E12" s="14" t="str">
        <f>IFERROR(PHAN_CONG!$E$12,"")</f>
        <v/>
      </c>
      <c r="F12" s="14" t="str">
        <f>IFERROR(PHAN_CONG!$F$12,"")</f>
        <v/>
      </c>
      <c r="G12" s="14" t="str">
        <f>IF(D12="","",SUMIF(TONG_HOP_LOP!$B$4:$B$15,D12,TONG_HOP_LOP!$E$4:$E$15))</f>
        <v/>
      </c>
      <c r="H12" s="32" t="str">
        <f>IF(D12="","",SUMIF(TONG_HOP_LOP!$B$4:$B$15,D12,TONG_HOP_LOP!$G$4:$G$15))</f>
        <v/>
      </c>
      <c r="I12" s="34" t="str">
        <f>IF(D12="","",IFERROR(VLOOKUP(D12,DANH_MUC_LOP!$B$4:$O$15,14,FALSE),DIEU_KHIEN!$B$6))</f>
        <v/>
      </c>
      <c r="J12" s="37"/>
      <c r="K12" s="34" t="str">
        <f t="shared" si="1"/>
        <v/>
      </c>
      <c r="L12" s="34" t="str">
        <f t="shared" si="2"/>
        <v/>
      </c>
      <c r="M12" s="32" t="str">
        <f t="shared" si="3"/>
        <v/>
      </c>
      <c r="N12" s="20"/>
      <c r="O12" s="20"/>
      <c r="P12" s="36" t="str">
        <f t="shared" si="4"/>
        <v/>
      </c>
    </row>
    <row r="13">
      <c r="A13" s="31" t="str">
        <f>IFERROR(PHAN_CONG!$A$13,"")</f>
        <v/>
      </c>
      <c r="B13" s="14" t="str">
        <f>IFERROR(PHAN_CONG!$B$13,"")</f>
        <v/>
      </c>
      <c r="C13" s="14" t="str">
        <f>IFERROR(PHAN_CONG!$C$13,"")</f>
        <v/>
      </c>
      <c r="D13" s="14" t="str">
        <f>IFERROR(PHAN_CONG!$D$13,"")</f>
        <v/>
      </c>
      <c r="E13" s="14" t="str">
        <f>IFERROR(PHAN_CONG!$E$13,"")</f>
        <v/>
      </c>
      <c r="F13" s="14" t="str">
        <f>IFERROR(PHAN_CONG!$F$13,"")</f>
        <v/>
      </c>
      <c r="G13" s="14" t="str">
        <f>IF(D13="","",SUMIF(TONG_HOP_LOP!$B$4:$B$15,D13,TONG_HOP_LOP!$E$4:$E$15))</f>
        <v/>
      </c>
      <c r="H13" s="32" t="str">
        <f>IF(D13="","",SUMIF(TONG_HOP_LOP!$B$4:$B$15,D13,TONG_HOP_LOP!$G$4:$G$15))</f>
        <v/>
      </c>
      <c r="I13" s="34" t="str">
        <f>IF(D13="","",IFERROR(VLOOKUP(D13,DANH_MUC_LOP!$B$4:$O$15,14,FALSE),DIEU_KHIEN!$B$6))</f>
        <v/>
      </c>
      <c r="J13" s="37"/>
      <c r="K13" s="34" t="str">
        <f t="shared" si="1"/>
        <v/>
      </c>
      <c r="L13" s="34" t="str">
        <f t="shared" si="2"/>
        <v/>
      </c>
      <c r="M13" s="32" t="str">
        <f t="shared" si="3"/>
        <v/>
      </c>
      <c r="N13" s="20"/>
      <c r="O13" s="20"/>
      <c r="P13" s="36" t="str">
        <f t="shared" si="4"/>
        <v/>
      </c>
    </row>
    <row r="14">
      <c r="A14" s="31" t="str">
        <f>IFERROR(PHAN_CONG!$A$14,"")</f>
        <v/>
      </c>
      <c r="B14" s="14" t="str">
        <f>IFERROR(PHAN_CONG!$B$14,"")</f>
        <v/>
      </c>
      <c r="C14" s="14" t="str">
        <f>IFERROR(PHAN_CONG!$C$14,"")</f>
        <v/>
      </c>
      <c r="D14" s="14" t="str">
        <f>IFERROR(PHAN_CONG!$D$14,"")</f>
        <v/>
      </c>
      <c r="E14" s="14" t="str">
        <f>IFERROR(PHAN_CONG!$E$14,"")</f>
        <v/>
      </c>
      <c r="F14" s="14" t="str">
        <f>IFERROR(PHAN_CONG!$F$14,"")</f>
        <v/>
      </c>
      <c r="G14" s="14" t="str">
        <f>IF(D14="","",SUMIF(TONG_HOP_LOP!$B$4:$B$15,D14,TONG_HOP_LOP!$E$4:$E$15))</f>
        <v/>
      </c>
      <c r="H14" s="32" t="str">
        <f>IF(D14="","",SUMIF(TONG_HOP_LOP!$B$4:$B$15,D14,TONG_HOP_LOP!$G$4:$G$15))</f>
        <v/>
      </c>
      <c r="I14" s="34" t="str">
        <f>IF(D14="","",IFERROR(VLOOKUP(D14,DANH_MUC_LOP!$B$4:$O$15,14,FALSE),DIEU_KHIEN!$B$6))</f>
        <v/>
      </c>
      <c r="J14" s="37"/>
      <c r="K14" s="34" t="str">
        <f t="shared" si="1"/>
        <v/>
      </c>
      <c r="L14" s="34" t="str">
        <f t="shared" si="2"/>
        <v/>
      </c>
      <c r="M14" s="32" t="str">
        <f t="shared" si="3"/>
        <v/>
      </c>
      <c r="N14" s="20"/>
      <c r="O14" s="20"/>
      <c r="P14" s="36" t="str">
        <f t="shared" si="4"/>
        <v/>
      </c>
    </row>
    <row r="15">
      <c r="A15" s="31" t="str">
        <f>IFERROR(PHAN_CONG!$A$15,"")</f>
        <v/>
      </c>
      <c r="B15" s="14" t="str">
        <f>IFERROR(PHAN_CONG!$B$15,"")</f>
        <v/>
      </c>
      <c r="C15" s="14" t="str">
        <f>IFERROR(PHAN_CONG!$C$15,"")</f>
        <v/>
      </c>
      <c r="D15" s="14" t="str">
        <f>IFERROR(PHAN_CONG!$D$15,"")</f>
        <v/>
      </c>
      <c r="E15" s="14" t="str">
        <f>IFERROR(PHAN_CONG!$E$15,"")</f>
        <v/>
      </c>
      <c r="F15" s="14" t="str">
        <f>IFERROR(PHAN_CONG!$F$15,"")</f>
        <v/>
      </c>
      <c r="G15" s="14" t="str">
        <f>IF(D15="","",SUMIF(TONG_HOP_LOP!$B$4:$B$15,D15,TONG_HOP_LOP!$E$4:$E$15))</f>
        <v/>
      </c>
      <c r="H15" s="32" t="str">
        <f>IF(D15="","",SUMIF(TONG_HOP_LOP!$B$4:$B$15,D15,TONG_HOP_LOP!$G$4:$G$15))</f>
        <v/>
      </c>
      <c r="I15" s="34" t="str">
        <f>IF(D15="","",IFERROR(VLOOKUP(D15,DANH_MUC_LOP!$B$4:$O$15,14,FALSE),DIEU_KHIEN!$B$6))</f>
        <v/>
      </c>
      <c r="J15" s="37"/>
      <c r="K15" s="34" t="str">
        <f t="shared" si="1"/>
        <v/>
      </c>
      <c r="L15" s="34" t="str">
        <f t="shared" si="2"/>
        <v/>
      </c>
      <c r="M15" s="32" t="str">
        <f t="shared" si="3"/>
        <v/>
      </c>
      <c r="N15" s="20"/>
      <c r="O15" s="20"/>
      <c r="P15" s="36" t="str">
        <f t="shared" si="4"/>
        <v/>
      </c>
    </row>
    <row r="16">
      <c r="A16" s="31" t="str">
        <f>IFERROR(PHAN_CONG!$A$16,"")</f>
        <v/>
      </c>
      <c r="B16" s="14" t="str">
        <f>IFERROR(PHAN_CONG!$B$16,"")</f>
        <v/>
      </c>
      <c r="C16" s="14" t="str">
        <f>IFERROR(PHAN_CONG!$C$16,"")</f>
        <v/>
      </c>
      <c r="D16" s="14" t="str">
        <f>IFERROR(PHAN_CONG!$D$16,"")</f>
        <v/>
      </c>
      <c r="E16" s="14" t="str">
        <f>IFERROR(PHAN_CONG!$E$16,"")</f>
        <v/>
      </c>
      <c r="F16" s="14" t="str">
        <f>IFERROR(PHAN_CONG!$F$16,"")</f>
        <v/>
      </c>
      <c r="G16" s="14" t="str">
        <f>IF(D16="","",SUMIF(TONG_HOP_LOP!$B$4:$B$15,D16,TONG_HOP_LOP!$E$4:$E$15))</f>
        <v/>
      </c>
      <c r="H16" s="32" t="str">
        <f>IF(D16="","",SUMIF(TONG_HOP_LOP!$B$4:$B$15,D16,TONG_HOP_LOP!$G$4:$G$15))</f>
        <v/>
      </c>
      <c r="I16" s="34" t="str">
        <f>IF(D16="","",IFERROR(VLOOKUP(D16,DANH_MUC_LOP!$B$4:$O$15,14,FALSE),DIEU_KHIEN!$B$6))</f>
        <v/>
      </c>
      <c r="J16" s="37"/>
      <c r="K16" s="34" t="str">
        <f t="shared" si="1"/>
        <v/>
      </c>
      <c r="L16" s="34" t="str">
        <f t="shared" si="2"/>
        <v/>
      </c>
      <c r="M16" s="32" t="str">
        <f t="shared" si="3"/>
        <v/>
      </c>
      <c r="N16" s="20"/>
      <c r="O16" s="20"/>
      <c r="P16" s="36" t="str">
        <f t="shared" si="4"/>
        <v/>
      </c>
    </row>
    <row r="17">
      <c r="A17" s="31" t="str">
        <f>IFERROR(PHAN_CONG!$A$17,"")</f>
        <v/>
      </c>
      <c r="B17" s="14" t="str">
        <f>IFERROR(PHAN_CONG!$B$17,"")</f>
        <v/>
      </c>
      <c r="C17" s="14" t="str">
        <f>IFERROR(PHAN_CONG!$C$17,"")</f>
        <v/>
      </c>
      <c r="D17" s="14" t="str">
        <f>IFERROR(PHAN_CONG!$D$17,"")</f>
        <v/>
      </c>
      <c r="E17" s="14" t="str">
        <f>IFERROR(PHAN_CONG!$E$17,"")</f>
        <v/>
      </c>
      <c r="F17" s="14" t="str">
        <f>IFERROR(PHAN_CONG!$F$17,"")</f>
        <v/>
      </c>
      <c r="G17" s="14" t="str">
        <f>IF(D17="","",SUMIF(TONG_HOP_LOP!$B$4:$B$15,D17,TONG_HOP_LOP!$E$4:$E$15))</f>
        <v/>
      </c>
      <c r="H17" s="32" t="str">
        <f>IF(D17="","",SUMIF(TONG_HOP_LOP!$B$4:$B$15,D17,TONG_HOP_LOP!$G$4:$G$15))</f>
        <v/>
      </c>
      <c r="I17" s="34" t="str">
        <f>IF(D17="","",IFERROR(VLOOKUP(D17,DANH_MUC_LOP!$B$4:$O$15,14,FALSE),DIEU_KHIEN!$B$6))</f>
        <v/>
      </c>
      <c r="J17" s="37"/>
      <c r="K17" s="34" t="str">
        <f t="shared" si="1"/>
        <v/>
      </c>
      <c r="L17" s="34" t="str">
        <f t="shared" si="2"/>
        <v/>
      </c>
      <c r="M17" s="32" t="str">
        <f t="shared" si="3"/>
        <v/>
      </c>
      <c r="N17" s="20"/>
      <c r="O17" s="20"/>
      <c r="P17" s="36" t="str">
        <f t="shared" si="4"/>
        <v/>
      </c>
    </row>
    <row r="18">
      <c r="A18" s="31" t="str">
        <f>IFERROR(PHAN_CONG!$A$18,"")</f>
        <v/>
      </c>
      <c r="B18" s="14" t="str">
        <f>IFERROR(PHAN_CONG!$B$18,"")</f>
        <v/>
      </c>
      <c r="C18" s="14" t="str">
        <f>IFERROR(PHAN_CONG!$C$18,"")</f>
        <v/>
      </c>
      <c r="D18" s="14" t="str">
        <f>IFERROR(PHAN_CONG!$D$18,"")</f>
        <v/>
      </c>
      <c r="E18" s="14" t="str">
        <f>IFERROR(PHAN_CONG!$E$18,"")</f>
        <v/>
      </c>
      <c r="F18" s="14" t="str">
        <f>IFERROR(PHAN_CONG!$F$18,"")</f>
        <v/>
      </c>
      <c r="G18" s="14" t="str">
        <f>IF(D18="","",SUMIF(TONG_HOP_LOP!$B$4:$B$15,D18,TONG_HOP_LOP!$E$4:$E$15))</f>
        <v/>
      </c>
      <c r="H18" s="32" t="str">
        <f>IF(D18="","",SUMIF(TONG_HOP_LOP!$B$4:$B$15,D18,TONG_HOP_LOP!$G$4:$G$15))</f>
        <v/>
      </c>
      <c r="I18" s="34" t="str">
        <f>IF(D18="","",IFERROR(VLOOKUP(D18,DANH_MUC_LOP!$B$4:$O$15,14,FALSE),DIEU_KHIEN!$B$6))</f>
        <v/>
      </c>
      <c r="J18" s="37"/>
      <c r="K18" s="34" t="str">
        <f t="shared" si="1"/>
        <v/>
      </c>
      <c r="L18" s="34" t="str">
        <f t="shared" si="2"/>
        <v/>
      </c>
      <c r="M18" s="32" t="str">
        <f t="shared" si="3"/>
        <v/>
      </c>
      <c r="N18" s="20"/>
      <c r="O18" s="20"/>
      <c r="P18" s="36" t="str">
        <f t="shared" si="4"/>
        <v/>
      </c>
    </row>
    <row r="19">
      <c r="A19" s="31" t="str">
        <f>IFERROR(PHAN_CONG!$A$19,"")</f>
        <v/>
      </c>
      <c r="B19" s="14" t="str">
        <f>IFERROR(PHAN_CONG!$B$19,"")</f>
        <v/>
      </c>
      <c r="C19" s="14" t="str">
        <f>IFERROR(PHAN_CONG!$C$19,"")</f>
        <v/>
      </c>
      <c r="D19" s="14" t="str">
        <f>IFERROR(PHAN_CONG!$D$19,"")</f>
        <v/>
      </c>
      <c r="E19" s="14" t="str">
        <f>IFERROR(PHAN_CONG!$E$19,"")</f>
        <v/>
      </c>
      <c r="F19" s="14" t="str">
        <f>IFERROR(PHAN_CONG!$F$19,"")</f>
        <v/>
      </c>
      <c r="G19" s="14" t="str">
        <f>IF(D19="","",SUMIF(TONG_HOP_LOP!$B$4:$B$15,D19,TONG_HOP_LOP!$E$4:$E$15))</f>
        <v/>
      </c>
      <c r="H19" s="32" t="str">
        <f>IF(D19="","",SUMIF(TONG_HOP_LOP!$B$4:$B$15,D19,TONG_HOP_LOP!$G$4:$G$15))</f>
        <v/>
      </c>
      <c r="I19" s="34" t="str">
        <f>IF(D19="","",IFERROR(VLOOKUP(D19,DANH_MUC_LOP!$B$4:$O$15,14,FALSE),DIEU_KHIEN!$B$6))</f>
        <v/>
      </c>
      <c r="J19" s="37"/>
      <c r="K19" s="34" t="str">
        <f t="shared" si="1"/>
        <v/>
      </c>
      <c r="L19" s="34" t="str">
        <f t="shared" si="2"/>
        <v/>
      </c>
      <c r="M19" s="32" t="str">
        <f t="shared" si="3"/>
        <v/>
      </c>
      <c r="N19" s="20"/>
      <c r="O19" s="20"/>
      <c r="P19" s="36" t="str">
        <f t="shared" si="4"/>
        <v/>
      </c>
    </row>
    <row r="20">
      <c r="A20" s="31" t="str">
        <f>IFERROR(PHAN_CONG!$A$20,"")</f>
        <v/>
      </c>
      <c r="B20" s="14" t="str">
        <f>IFERROR(PHAN_CONG!$B$20,"")</f>
        <v/>
      </c>
      <c r="C20" s="14" t="str">
        <f>IFERROR(PHAN_CONG!$C$20,"")</f>
        <v/>
      </c>
      <c r="D20" s="14" t="str">
        <f>IFERROR(PHAN_CONG!$D$20,"")</f>
        <v/>
      </c>
      <c r="E20" s="14" t="str">
        <f>IFERROR(PHAN_CONG!$E$20,"")</f>
        <v/>
      </c>
      <c r="F20" s="14" t="str">
        <f>IFERROR(PHAN_CONG!$F$20,"")</f>
        <v/>
      </c>
      <c r="G20" s="14" t="str">
        <f>IF(D20="","",SUMIF(TONG_HOP_LOP!$B$4:$B$15,D20,TONG_HOP_LOP!$E$4:$E$15))</f>
        <v/>
      </c>
      <c r="H20" s="32" t="str">
        <f>IF(D20="","",SUMIF(TONG_HOP_LOP!$B$4:$B$15,D20,TONG_HOP_LOP!$G$4:$G$15))</f>
        <v/>
      </c>
      <c r="I20" s="34" t="str">
        <f>IF(D20="","",IFERROR(VLOOKUP(D20,DANH_MUC_LOP!$B$4:$O$15,14,FALSE),DIEU_KHIEN!$B$6))</f>
        <v/>
      </c>
      <c r="J20" s="37"/>
      <c r="K20" s="34" t="str">
        <f t="shared" si="1"/>
        <v/>
      </c>
      <c r="L20" s="34" t="str">
        <f t="shared" si="2"/>
        <v/>
      </c>
      <c r="M20" s="32" t="str">
        <f t="shared" si="3"/>
        <v/>
      </c>
      <c r="N20" s="20"/>
      <c r="O20" s="20"/>
      <c r="P20" s="36" t="str">
        <f t="shared" si="4"/>
        <v/>
      </c>
    </row>
    <row r="21" ht="15.75" customHeight="1">
      <c r="A21" s="31" t="str">
        <f>IFERROR(PHAN_CONG!$A$21,"")</f>
        <v/>
      </c>
      <c r="B21" s="14" t="str">
        <f>IFERROR(PHAN_CONG!$B$21,"")</f>
        <v/>
      </c>
      <c r="C21" s="14" t="str">
        <f>IFERROR(PHAN_CONG!$C$21,"")</f>
        <v/>
      </c>
      <c r="D21" s="14" t="str">
        <f>IFERROR(PHAN_CONG!$D$21,"")</f>
        <v/>
      </c>
      <c r="E21" s="14" t="str">
        <f>IFERROR(PHAN_CONG!$E$21,"")</f>
        <v/>
      </c>
      <c r="F21" s="14" t="str">
        <f>IFERROR(PHAN_CONG!$F$21,"")</f>
        <v/>
      </c>
      <c r="G21" s="14" t="str">
        <f>IF(D21="","",SUMIF(TONG_HOP_LOP!$B$4:$B$15,D21,TONG_HOP_LOP!$E$4:$E$15))</f>
        <v/>
      </c>
      <c r="H21" s="32" t="str">
        <f>IF(D21="","",SUMIF(TONG_HOP_LOP!$B$4:$B$15,D21,TONG_HOP_LOP!$G$4:$G$15))</f>
        <v/>
      </c>
      <c r="I21" s="34" t="str">
        <f>IF(D21="","",IFERROR(VLOOKUP(D21,DANH_MUC_LOP!$B$4:$O$15,14,FALSE),DIEU_KHIEN!$B$6))</f>
        <v/>
      </c>
      <c r="J21" s="37"/>
      <c r="K21" s="34" t="str">
        <f t="shared" si="1"/>
        <v/>
      </c>
      <c r="L21" s="34" t="str">
        <f t="shared" si="2"/>
        <v/>
      </c>
      <c r="M21" s="32" t="str">
        <f t="shared" si="3"/>
        <v/>
      </c>
      <c r="N21" s="20"/>
      <c r="O21" s="20"/>
      <c r="P21" s="36" t="str">
        <f t="shared" si="4"/>
        <v/>
      </c>
    </row>
    <row r="22" ht="15.75" customHeight="1">
      <c r="A22" s="31" t="str">
        <f>IFERROR(PHAN_CONG!$A$22,"")</f>
        <v/>
      </c>
      <c r="B22" s="14" t="str">
        <f>IFERROR(PHAN_CONG!$B$22,"")</f>
        <v/>
      </c>
      <c r="C22" s="14" t="str">
        <f>IFERROR(PHAN_CONG!$C$22,"")</f>
        <v/>
      </c>
      <c r="D22" s="14" t="str">
        <f>IFERROR(PHAN_CONG!$D$22,"")</f>
        <v/>
      </c>
      <c r="E22" s="14" t="str">
        <f>IFERROR(PHAN_CONG!$E$22,"")</f>
        <v/>
      </c>
      <c r="F22" s="14" t="str">
        <f>IFERROR(PHAN_CONG!$F$22,"")</f>
        <v/>
      </c>
      <c r="G22" s="14" t="str">
        <f>IF(D22="","",SUMIF(TONG_HOP_LOP!$B$4:$B$15,D22,TONG_HOP_LOP!$E$4:$E$15))</f>
        <v/>
      </c>
      <c r="H22" s="32" t="str">
        <f>IF(D22="","",SUMIF(TONG_HOP_LOP!$B$4:$B$15,D22,TONG_HOP_LOP!$G$4:$G$15))</f>
        <v/>
      </c>
      <c r="I22" s="34" t="str">
        <f>IF(D22="","",IFERROR(VLOOKUP(D22,DANH_MUC_LOP!$B$4:$O$15,14,FALSE),DIEU_KHIEN!$B$6))</f>
        <v/>
      </c>
      <c r="J22" s="37"/>
      <c r="K22" s="34" t="str">
        <f t="shared" si="1"/>
        <v/>
      </c>
      <c r="L22" s="34" t="str">
        <f t="shared" si="2"/>
        <v/>
      </c>
      <c r="M22" s="32" t="str">
        <f t="shared" si="3"/>
        <v/>
      </c>
      <c r="N22" s="20"/>
      <c r="O22" s="20"/>
      <c r="P22" s="36" t="str">
        <f t="shared" si="4"/>
        <v/>
      </c>
    </row>
    <row r="23" ht="15.75" customHeight="1">
      <c r="A23" s="31" t="str">
        <f>IFERROR(PHAN_CONG!$A$23,"")</f>
        <v/>
      </c>
      <c r="B23" s="14" t="str">
        <f>IFERROR(PHAN_CONG!$B$23,"")</f>
        <v/>
      </c>
      <c r="C23" s="14" t="str">
        <f>IFERROR(PHAN_CONG!$C$23,"")</f>
        <v/>
      </c>
      <c r="D23" s="14" t="str">
        <f>IFERROR(PHAN_CONG!$D$23,"")</f>
        <v/>
      </c>
      <c r="E23" s="14" t="str">
        <f>IFERROR(PHAN_CONG!$E$23,"")</f>
        <v/>
      </c>
      <c r="F23" s="14" t="str">
        <f>IFERROR(PHAN_CONG!$F$23,"")</f>
        <v/>
      </c>
      <c r="G23" s="14" t="str">
        <f>IF(D23="","",SUMIF(TONG_HOP_LOP!$B$4:$B$15,D23,TONG_HOP_LOP!$E$4:$E$15))</f>
        <v/>
      </c>
      <c r="H23" s="32" t="str">
        <f>IF(D23="","",SUMIF(TONG_HOP_LOP!$B$4:$B$15,D23,TONG_HOP_LOP!$G$4:$G$15))</f>
        <v/>
      </c>
      <c r="I23" s="34" t="str">
        <f>IF(D23="","",IFERROR(VLOOKUP(D23,DANH_MUC_LOP!$B$4:$O$15,14,FALSE),DIEU_KHIEN!$B$6))</f>
        <v/>
      </c>
      <c r="J23" s="37"/>
      <c r="K23" s="34" t="str">
        <f t="shared" si="1"/>
        <v/>
      </c>
      <c r="L23" s="34" t="str">
        <f t="shared" si="2"/>
        <v/>
      </c>
      <c r="M23" s="32" t="str">
        <f t="shared" si="3"/>
        <v/>
      </c>
      <c r="N23" s="20"/>
      <c r="O23" s="20"/>
      <c r="P23" s="36" t="str">
        <f t="shared" si="4"/>
        <v/>
      </c>
    </row>
    <row r="24" ht="15.75" customHeight="1">
      <c r="A24" s="31" t="str">
        <f>IFERROR(PHAN_CONG!$A$24,"")</f>
        <v/>
      </c>
      <c r="B24" s="14" t="str">
        <f>IFERROR(PHAN_CONG!$B$24,"")</f>
        <v/>
      </c>
      <c r="C24" s="14" t="str">
        <f>IFERROR(PHAN_CONG!$C$24,"")</f>
        <v/>
      </c>
      <c r="D24" s="14" t="str">
        <f>IFERROR(PHAN_CONG!$D$24,"")</f>
        <v/>
      </c>
      <c r="E24" s="14" t="str">
        <f>IFERROR(PHAN_CONG!$E$24,"")</f>
        <v/>
      </c>
      <c r="F24" s="14" t="str">
        <f>IFERROR(PHAN_CONG!$F$24,"")</f>
        <v/>
      </c>
      <c r="G24" s="14" t="str">
        <f>IF(D24="","",SUMIF(TONG_HOP_LOP!$B$4:$B$15,D24,TONG_HOP_LOP!$E$4:$E$15))</f>
        <v/>
      </c>
      <c r="H24" s="32" t="str">
        <f>IF(D24="","",SUMIF(TONG_HOP_LOP!$B$4:$B$15,D24,TONG_HOP_LOP!$G$4:$G$15))</f>
        <v/>
      </c>
      <c r="I24" s="34" t="str">
        <f>IF(D24="","",IFERROR(VLOOKUP(D24,DANH_MUC_LOP!$B$4:$O$15,14,FALSE),DIEU_KHIEN!$B$6))</f>
        <v/>
      </c>
      <c r="J24" s="37"/>
      <c r="K24" s="34" t="str">
        <f t="shared" si="1"/>
        <v/>
      </c>
      <c r="L24" s="34" t="str">
        <f t="shared" si="2"/>
        <v/>
      </c>
      <c r="M24" s="32" t="str">
        <f t="shared" si="3"/>
        <v/>
      </c>
      <c r="N24" s="20"/>
      <c r="O24" s="20"/>
      <c r="P24" s="36" t="str">
        <f t="shared" si="4"/>
        <v/>
      </c>
    </row>
    <row r="25" ht="15.75" customHeight="1">
      <c r="A25" s="31" t="str">
        <f>IFERROR(PHAN_CONG!$A$25,"")</f>
        <v/>
      </c>
      <c r="B25" s="14" t="str">
        <f>IFERROR(PHAN_CONG!$B$25,"")</f>
        <v/>
      </c>
      <c r="C25" s="14" t="str">
        <f>IFERROR(PHAN_CONG!$C$25,"")</f>
        <v/>
      </c>
      <c r="D25" s="14" t="str">
        <f>IFERROR(PHAN_CONG!$D$25,"")</f>
        <v/>
      </c>
      <c r="E25" s="14" t="str">
        <f>IFERROR(PHAN_CONG!$E$25,"")</f>
        <v/>
      </c>
      <c r="F25" s="14" t="str">
        <f>IFERROR(PHAN_CONG!$F$25,"")</f>
        <v/>
      </c>
      <c r="G25" s="14" t="str">
        <f>IF(D25="","",SUMIF(TONG_HOP_LOP!$B$4:$B$15,D25,TONG_HOP_LOP!$E$4:$E$15))</f>
        <v/>
      </c>
      <c r="H25" s="32" t="str">
        <f>IF(D25="","",SUMIF(TONG_HOP_LOP!$B$4:$B$15,D25,TONG_HOP_LOP!$G$4:$G$15))</f>
        <v/>
      </c>
      <c r="I25" s="34" t="str">
        <f>IF(D25="","",IFERROR(VLOOKUP(D25,DANH_MUC_LOP!$B$4:$O$15,14,FALSE),DIEU_KHIEN!$B$6))</f>
        <v/>
      </c>
      <c r="J25" s="37"/>
      <c r="K25" s="34" t="str">
        <f t="shared" si="1"/>
        <v/>
      </c>
      <c r="L25" s="34" t="str">
        <f t="shared" si="2"/>
        <v/>
      </c>
      <c r="M25" s="32" t="str">
        <f t="shared" si="3"/>
        <v/>
      </c>
      <c r="N25" s="20"/>
      <c r="O25" s="20"/>
      <c r="P25" s="36" t="str">
        <f t="shared" si="4"/>
        <v/>
      </c>
    </row>
    <row r="26" ht="15.75" customHeight="1">
      <c r="A26" s="31" t="str">
        <f>IFERROR(PHAN_CONG!$A$26,"")</f>
        <v/>
      </c>
      <c r="B26" s="14" t="str">
        <f>IFERROR(PHAN_CONG!$B$26,"")</f>
        <v/>
      </c>
      <c r="C26" s="14" t="str">
        <f>IFERROR(PHAN_CONG!$C$26,"")</f>
        <v/>
      </c>
      <c r="D26" s="14" t="str">
        <f>IFERROR(PHAN_CONG!$D$26,"")</f>
        <v/>
      </c>
      <c r="E26" s="14" t="str">
        <f>IFERROR(PHAN_CONG!$E$26,"")</f>
        <v/>
      </c>
      <c r="F26" s="14" t="str">
        <f>IFERROR(PHAN_CONG!$F$26,"")</f>
        <v/>
      </c>
      <c r="G26" s="14" t="str">
        <f>IF(D26="","",SUMIF(TONG_HOP_LOP!$B$4:$B$15,D26,TONG_HOP_LOP!$E$4:$E$15))</f>
        <v/>
      </c>
      <c r="H26" s="32" t="str">
        <f>IF(D26="","",SUMIF(TONG_HOP_LOP!$B$4:$B$15,D26,TONG_HOP_LOP!$G$4:$G$15))</f>
        <v/>
      </c>
      <c r="I26" s="34" t="str">
        <f>IF(D26="","",IFERROR(VLOOKUP(D26,DANH_MUC_LOP!$B$4:$O$15,14,FALSE),DIEU_KHIEN!$B$6))</f>
        <v/>
      </c>
      <c r="J26" s="37"/>
      <c r="K26" s="34" t="str">
        <f t="shared" si="1"/>
        <v/>
      </c>
      <c r="L26" s="34" t="str">
        <f t="shared" si="2"/>
        <v/>
      </c>
      <c r="M26" s="32" t="str">
        <f t="shared" si="3"/>
        <v/>
      </c>
      <c r="N26" s="20"/>
      <c r="O26" s="20"/>
      <c r="P26" s="36" t="str">
        <f t="shared" si="4"/>
        <v/>
      </c>
    </row>
    <row r="27" ht="15.75" customHeight="1">
      <c r="A27" s="31" t="str">
        <f>IFERROR(PHAN_CONG!$A$27,"")</f>
        <v/>
      </c>
      <c r="B27" s="14" t="str">
        <f>IFERROR(PHAN_CONG!$B$27,"")</f>
        <v/>
      </c>
      <c r="C27" s="14" t="str">
        <f>IFERROR(PHAN_CONG!$C$27,"")</f>
        <v/>
      </c>
      <c r="D27" s="14" t="str">
        <f>IFERROR(PHAN_CONG!$D$27,"")</f>
        <v/>
      </c>
      <c r="E27" s="14" t="str">
        <f>IFERROR(PHAN_CONG!$E$27,"")</f>
        <v/>
      </c>
      <c r="F27" s="14" t="str">
        <f>IFERROR(PHAN_CONG!$F$27,"")</f>
        <v/>
      </c>
      <c r="G27" s="14" t="str">
        <f>IF(D27="","",SUMIF(TONG_HOP_LOP!$B$4:$B$15,D27,TONG_HOP_LOP!$E$4:$E$15))</f>
        <v/>
      </c>
      <c r="H27" s="32" t="str">
        <f>IF(D27="","",SUMIF(TONG_HOP_LOP!$B$4:$B$15,D27,TONG_HOP_LOP!$G$4:$G$15))</f>
        <v/>
      </c>
      <c r="I27" s="34" t="str">
        <f>IF(D27="","",IFERROR(VLOOKUP(D27,DANH_MUC_LOP!$B$4:$O$15,14,FALSE),DIEU_KHIEN!$B$6))</f>
        <v/>
      </c>
      <c r="J27" s="37"/>
      <c r="K27" s="34" t="str">
        <f t="shared" si="1"/>
        <v/>
      </c>
      <c r="L27" s="34" t="str">
        <f t="shared" si="2"/>
        <v/>
      </c>
      <c r="M27" s="32" t="str">
        <f t="shared" si="3"/>
        <v/>
      </c>
      <c r="N27" s="20"/>
      <c r="O27" s="20"/>
      <c r="P27" s="36" t="str">
        <f t="shared" si="4"/>
        <v/>
      </c>
    </row>
    <row r="28" ht="15.75" customHeight="1">
      <c r="A28" s="31" t="str">
        <f>IFERROR(PHAN_CONG!$A$28,"")</f>
        <v/>
      </c>
      <c r="B28" s="14" t="str">
        <f>IFERROR(PHAN_CONG!$B$28,"")</f>
        <v/>
      </c>
      <c r="C28" s="14" t="str">
        <f>IFERROR(PHAN_CONG!$C$28,"")</f>
        <v/>
      </c>
      <c r="D28" s="14" t="str">
        <f>IFERROR(PHAN_CONG!$D$28,"")</f>
        <v/>
      </c>
      <c r="E28" s="14" t="str">
        <f>IFERROR(PHAN_CONG!$E$28,"")</f>
        <v/>
      </c>
      <c r="F28" s="14" t="str">
        <f>IFERROR(PHAN_CONG!$F$28,"")</f>
        <v/>
      </c>
      <c r="G28" s="14" t="str">
        <f>IF(D28="","",SUMIF(TONG_HOP_LOP!$B$4:$B$15,D28,TONG_HOP_LOP!$E$4:$E$15))</f>
        <v/>
      </c>
      <c r="H28" s="32" t="str">
        <f>IF(D28="","",SUMIF(TONG_HOP_LOP!$B$4:$B$15,D28,TONG_HOP_LOP!$G$4:$G$15))</f>
        <v/>
      </c>
      <c r="I28" s="34" t="str">
        <f>IF(D28="","",IFERROR(VLOOKUP(D28,DANH_MUC_LOP!$B$4:$O$15,14,FALSE),DIEU_KHIEN!$B$6))</f>
        <v/>
      </c>
      <c r="J28" s="37"/>
      <c r="K28" s="34" t="str">
        <f t="shared" si="1"/>
        <v/>
      </c>
      <c r="L28" s="34" t="str">
        <f t="shared" si="2"/>
        <v/>
      </c>
      <c r="M28" s="32" t="str">
        <f t="shared" si="3"/>
        <v/>
      </c>
      <c r="N28" s="20"/>
      <c r="O28" s="20"/>
      <c r="P28" s="36" t="str">
        <f t="shared" si="4"/>
        <v/>
      </c>
    </row>
    <row r="29" ht="15.75" customHeight="1">
      <c r="A29" s="31" t="str">
        <f>IFERROR(PHAN_CONG!$A$29,"")</f>
        <v/>
      </c>
      <c r="B29" s="14" t="str">
        <f>IFERROR(PHAN_CONG!$B$29,"")</f>
        <v/>
      </c>
      <c r="C29" s="14" t="str">
        <f>IFERROR(PHAN_CONG!$C$29,"")</f>
        <v/>
      </c>
      <c r="D29" s="14" t="str">
        <f>IFERROR(PHAN_CONG!$D$29,"")</f>
        <v/>
      </c>
      <c r="E29" s="14" t="str">
        <f>IFERROR(PHAN_CONG!$E$29,"")</f>
        <v/>
      </c>
      <c r="F29" s="14" t="str">
        <f>IFERROR(PHAN_CONG!$F$29,"")</f>
        <v/>
      </c>
      <c r="G29" s="14" t="str">
        <f>IF(D29="","",SUMIF(TONG_HOP_LOP!$B$4:$B$15,D29,TONG_HOP_LOP!$E$4:$E$15))</f>
        <v/>
      </c>
      <c r="H29" s="32" t="str">
        <f>IF(D29="","",SUMIF(TONG_HOP_LOP!$B$4:$B$15,D29,TONG_HOP_LOP!$G$4:$G$15))</f>
        <v/>
      </c>
      <c r="I29" s="34" t="str">
        <f>IF(D29="","",IFERROR(VLOOKUP(D29,DANH_MUC_LOP!$B$4:$O$15,14,FALSE),DIEU_KHIEN!$B$6))</f>
        <v/>
      </c>
      <c r="J29" s="37"/>
      <c r="K29" s="34" t="str">
        <f t="shared" si="1"/>
        <v/>
      </c>
      <c r="L29" s="34" t="str">
        <f t="shared" si="2"/>
        <v/>
      </c>
      <c r="M29" s="32" t="str">
        <f t="shared" si="3"/>
        <v/>
      </c>
      <c r="N29" s="20"/>
      <c r="O29" s="20"/>
      <c r="P29" s="36" t="str">
        <f t="shared" si="4"/>
        <v/>
      </c>
    </row>
    <row r="30" ht="15.75" customHeight="1">
      <c r="A30" s="31" t="str">
        <f>IFERROR(PHAN_CONG!$A$30,"")</f>
        <v/>
      </c>
      <c r="B30" s="14" t="str">
        <f>IFERROR(PHAN_CONG!$B$30,"")</f>
        <v/>
      </c>
      <c r="C30" s="14" t="str">
        <f>IFERROR(PHAN_CONG!$C$30,"")</f>
        <v/>
      </c>
      <c r="D30" s="14" t="str">
        <f>IFERROR(PHAN_CONG!$D$30,"")</f>
        <v/>
      </c>
      <c r="E30" s="14" t="str">
        <f>IFERROR(PHAN_CONG!$E$30,"")</f>
        <v/>
      </c>
      <c r="F30" s="14" t="str">
        <f>IFERROR(PHAN_CONG!$F$30,"")</f>
        <v/>
      </c>
      <c r="G30" s="14" t="str">
        <f>IF(D30="","",SUMIF(TONG_HOP_LOP!$B$4:$B$15,D30,TONG_HOP_LOP!$E$4:$E$15))</f>
        <v/>
      </c>
      <c r="H30" s="32" t="str">
        <f>IF(D30="","",SUMIF(TONG_HOP_LOP!$B$4:$B$15,D30,TONG_HOP_LOP!$G$4:$G$15))</f>
        <v/>
      </c>
      <c r="I30" s="34" t="str">
        <f>IF(D30="","",IFERROR(VLOOKUP(D30,DANH_MUC_LOP!$B$4:$O$15,14,FALSE),DIEU_KHIEN!$B$6))</f>
        <v/>
      </c>
      <c r="J30" s="37"/>
      <c r="K30" s="34" t="str">
        <f t="shared" si="1"/>
        <v/>
      </c>
      <c r="L30" s="34" t="str">
        <f t="shared" si="2"/>
        <v/>
      </c>
      <c r="M30" s="32" t="str">
        <f t="shared" si="3"/>
        <v/>
      </c>
      <c r="N30" s="20"/>
      <c r="O30" s="20"/>
      <c r="P30" s="36" t="str">
        <f t="shared" si="4"/>
        <v/>
      </c>
    </row>
    <row r="31" ht="15.75" customHeight="1">
      <c r="A31" s="31" t="str">
        <f>IFERROR(PHAN_CONG!$A$31,"")</f>
        <v/>
      </c>
      <c r="B31" s="14" t="str">
        <f>IFERROR(PHAN_CONG!$B$31,"")</f>
        <v/>
      </c>
      <c r="C31" s="14" t="str">
        <f>IFERROR(PHAN_CONG!$C$31,"")</f>
        <v/>
      </c>
      <c r="D31" s="14" t="str">
        <f>IFERROR(PHAN_CONG!$D$31,"")</f>
        <v/>
      </c>
      <c r="E31" s="14" t="str">
        <f>IFERROR(PHAN_CONG!$E$31,"")</f>
        <v/>
      </c>
      <c r="F31" s="14" t="str">
        <f>IFERROR(PHAN_CONG!$F$31,"")</f>
        <v/>
      </c>
      <c r="G31" s="14" t="str">
        <f>IF(D31="","",SUMIF(TONG_HOP_LOP!$B$4:$B$15,D31,TONG_HOP_LOP!$E$4:$E$15))</f>
        <v/>
      </c>
      <c r="H31" s="32" t="str">
        <f>IF(D31="","",SUMIF(TONG_HOP_LOP!$B$4:$B$15,D31,TONG_HOP_LOP!$G$4:$G$15))</f>
        <v/>
      </c>
      <c r="I31" s="34" t="str">
        <f>IF(D31="","",IFERROR(VLOOKUP(D31,DANH_MUC_LOP!$B$4:$O$15,14,FALSE),DIEU_KHIEN!$B$6))</f>
        <v/>
      </c>
      <c r="J31" s="37"/>
      <c r="K31" s="34" t="str">
        <f t="shared" si="1"/>
        <v/>
      </c>
      <c r="L31" s="34" t="str">
        <f t="shared" si="2"/>
        <v/>
      </c>
      <c r="M31" s="32" t="str">
        <f t="shared" si="3"/>
        <v/>
      </c>
      <c r="N31" s="20"/>
      <c r="O31" s="20"/>
      <c r="P31" s="36" t="str">
        <f t="shared" si="4"/>
        <v/>
      </c>
    </row>
    <row r="32" ht="15.75" customHeight="1">
      <c r="A32" s="31" t="str">
        <f>IFERROR(PHAN_CONG!$A$32,"")</f>
        <v/>
      </c>
      <c r="B32" s="14" t="str">
        <f>IFERROR(PHAN_CONG!$B$32,"")</f>
        <v/>
      </c>
      <c r="C32" s="14" t="str">
        <f>IFERROR(PHAN_CONG!$C$32,"")</f>
        <v/>
      </c>
      <c r="D32" s="14" t="str">
        <f>IFERROR(PHAN_CONG!$D$32,"")</f>
        <v/>
      </c>
      <c r="E32" s="14" t="str">
        <f>IFERROR(PHAN_CONG!$E$32,"")</f>
        <v/>
      </c>
      <c r="F32" s="14" t="str">
        <f>IFERROR(PHAN_CONG!$F$32,"")</f>
        <v/>
      </c>
      <c r="G32" s="14" t="str">
        <f>IF(D32="","",SUMIF(TONG_HOP_LOP!$B$4:$B$15,D32,TONG_HOP_LOP!$E$4:$E$15))</f>
        <v/>
      </c>
      <c r="H32" s="32" t="str">
        <f>IF(D32="","",SUMIF(TONG_HOP_LOP!$B$4:$B$15,D32,TONG_HOP_LOP!$G$4:$G$15))</f>
        <v/>
      </c>
      <c r="I32" s="34" t="str">
        <f>IF(D32="","",IFERROR(VLOOKUP(D32,DANH_MUC_LOP!$B$4:$O$15,14,FALSE),DIEU_KHIEN!$B$6))</f>
        <v/>
      </c>
      <c r="J32" s="37"/>
      <c r="K32" s="34" t="str">
        <f t="shared" si="1"/>
        <v/>
      </c>
      <c r="L32" s="34" t="str">
        <f t="shared" si="2"/>
        <v/>
      </c>
      <c r="M32" s="32" t="str">
        <f t="shared" si="3"/>
        <v/>
      </c>
      <c r="N32" s="20"/>
      <c r="O32" s="20"/>
      <c r="P32" s="36" t="str">
        <f t="shared" si="4"/>
        <v/>
      </c>
    </row>
    <row r="33" ht="15.75" customHeight="1">
      <c r="A33" s="31" t="str">
        <f>IFERROR(PHAN_CONG!$A$33,"")</f>
        <v/>
      </c>
      <c r="B33" s="14" t="str">
        <f>IFERROR(PHAN_CONG!$B$33,"")</f>
        <v/>
      </c>
      <c r="C33" s="14" t="str">
        <f>IFERROR(PHAN_CONG!$C$33,"")</f>
        <v/>
      </c>
      <c r="D33" s="14" t="str">
        <f>IFERROR(PHAN_CONG!$D$33,"")</f>
        <v/>
      </c>
      <c r="E33" s="14" t="str">
        <f>IFERROR(PHAN_CONG!$E$33,"")</f>
        <v/>
      </c>
      <c r="F33" s="14" t="str">
        <f>IFERROR(PHAN_CONG!$F$33,"")</f>
        <v/>
      </c>
      <c r="G33" s="14" t="str">
        <f>IF(D33="","",SUMIF(TONG_HOP_LOP!$B$4:$B$15,D33,TONG_HOP_LOP!$E$4:$E$15))</f>
        <v/>
      </c>
      <c r="H33" s="32" t="str">
        <f>IF(D33="","",SUMIF(TONG_HOP_LOP!$B$4:$B$15,D33,TONG_HOP_LOP!$G$4:$G$15))</f>
        <v/>
      </c>
      <c r="I33" s="34" t="str">
        <f>IF(D33="","",IFERROR(VLOOKUP(D33,DANH_MUC_LOP!$B$4:$O$15,14,FALSE),DIEU_KHIEN!$B$6))</f>
        <v/>
      </c>
      <c r="J33" s="37"/>
      <c r="K33" s="34" t="str">
        <f t="shared" si="1"/>
        <v/>
      </c>
      <c r="L33" s="34" t="str">
        <f t="shared" si="2"/>
        <v/>
      </c>
      <c r="M33" s="32" t="str">
        <f t="shared" si="3"/>
        <v/>
      </c>
      <c r="N33" s="20"/>
      <c r="O33" s="20"/>
      <c r="P33" s="36" t="str">
        <f t="shared" si="4"/>
        <v/>
      </c>
    </row>
    <row r="34" ht="15.75" customHeight="1">
      <c r="A34" s="31" t="str">
        <f>IFERROR(PHAN_CONG!$A$34,"")</f>
        <v/>
      </c>
      <c r="B34" s="14" t="str">
        <f>IFERROR(PHAN_CONG!$B$34,"")</f>
        <v/>
      </c>
      <c r="C34" s="14" t="str">
        <f>IFERROR(PHAN_CONG!$C$34,"")</f>
        <v/>
      </c>
      <c r="D34" s="14" t="str">
        <f>IFERROR(PHAN_CONG!$D$34,"")</f>
        <v/>
      </c>
      <c r="E34" s="14" t="str">
        <f>IFERROR(PHAN_CONG!$E$34,"")</f>
        <v/>
      </c>
      <c r="F34" s="14" t="str">
        <f>IFERROR(PHAN_CONG!$F$34,"")</f>
        <v/>
      </c>
      <c r="G34" s="14" t="str">
        <f>IF(D34="","",SUMIF(TONG_HOP_LOP!$B$4:$B$15,D34,TONG_HOP_LOP!$E$4:$E$15))</f>
        <v/>
      </c>
      <c r="H34" s="32" t="str">
        <f>IF(D34="","",SUMIF(TONG_HOP_LOP!$B$4:$B$15,D34,TONG_HOP_LOP!$G$4:$G$15))</f>
        <v/>
      </c>
      <c r="I34" s="34" t="str">
        <f>IF(D34="","",IFERROR(VLOOKUP(D34,DANH_MUC_LOP!$B$4:$O$15,14,FALSE),DIEU_KHIEN!$B$6))</f>
        <v/>
      </c>
      <c r="J34" s="37"/>
      <c r="K34" s="34" t="str">
        <f t="shared" si="1"/>
        <v/>
      </c>
      <c r="L34" s="34" t="str">
        <f t="shared" si="2"/>
        <v/>
      </c>
      <c r="M34" s="32" t="str">
        <f t="shared" si="3"/>
        <v/>
      </c>
      <c r="N34" s="20"/>
      <c r="O34" s="20"/>
      <c r="P34" s="36" t="str">
        <f t="shared" si="4"/>
        <v/>
      </c>
    </row>
    <row r="35" ht="15.75" customHeight="1">
      <c r="A35" s="31" t="str">
        <f>IFERROR(PHAN_CONG!$A$35,"")</f>
        <v/>
      </c>
      <c r="B35" s="14" t="str">
        <f>IFERROR(PHAN_CONG!$B$35,"")</f>
        <v/>
      </c>
      <c r="C35" s="14" t="str">
        <f>IFERROR(PHAN_CONG!$C$35,"")</f>
        <v/>
      </c>
      <c r="D35" s="14" t="str">
        <f>IFERROR(PHAN_CONG!$D$35,"")</f>
        <v/>
      </c>
      <c r="E35" s="14" t="str">
        <f>IFERROR(PHAN_CONG!$E$35,"")</f>
        <v/>
      </c>
      <c r="F35" s="14" t="str">
        <f>IFERROR(PHAN_CONG!$F$35,"")</f>
        <v/>
      </c>
      <c r="G35" s="14" t="str">
        <f>IF(D35="","",SUMIF(TONG_HOP_LOP!$B$4:$B$15,D35,TONG_HOP_LOP!$E$4:$E$15))</f>
        <v/>
      </c>
      <c r="H35" s="32" t="str">
        <f>IF(D35="","",SUMIF(TONG_HOP_LOP!$B$4:$B$15,D35,TONG_HOP_LOP!$G$4:$G$15))</f>
        <v/>
      </c>
      <c r="I35" s="34" t="str">
        <f>IF(D35="","",IFERROR(VLOOKUP(D35,DANH_MUC_LOP!$B$4:$O$15,14,FALSE),DIEU_KHIEN!$B$6))</f>
        <v/>
      </c>
      <c r="J35" s="37"/>
      <c r="K35" s="34" t="str">
        <f t="shared" si="1"/>
        <v/>
      </c>
      <c r="L35" s="34" t="str">
        <f t="shared" si="2"/>
        <v/>
      </c>
      <c r="M35" s="32" t="str">
        <f t="shared" si="3"/>
        <v/>
      </c>
      <c r="N35" s="20"/>
      <c r="O35" s="20"/>
      <c r="P35" s="36" t="str">
        <f t="shared" si="4"/>
        <v/>
      </c>
    </row>
    <row r="36" ht="15.75" customHeight="1">
      <c r="A36" s="31" t="str">
        <f>IFERROR(PHAN_CONG!$A$36,"")</f>
        <v/>
      </c>
      <c r="B36" s="14" t="str">
        <f>IFERROR(PHAN_CONG!$B$36,"")</f>
        <v/>
      </c>
      <c r="C36" s="14" t="str">
        <f>IFERROR(PHAN_CONG!$C$36,"")</f>
        <v/>
      </c>
      <c r="D36" s="14" t="str">
        <f>IFERROR(PHAN_CONG!$D$36,"")</f>
        <v/>
      </c>
      <c r="E36" s="14" t="str">
        <f>IFERROR(PHAN_CONG!$E$36,"")</f>
        <v/>
      </c>
      <c r="F36" s="14" t="str">
        <f>IFERROR(PHAN_CONG!$F$36,"")</f>
        <v/>
      </c>
      <c r="G36" s="14" t="str">
        <f>IF(D36="","",SUMIF(TONG_HOP_LOP!$B$4:$B$15,D36,TONG_HOP_LOP!$E$4:$E$15))</f>
        <v/>
      </c>
      <c r="H36" s="32" t="str">
        <f>IF(D36="","",SUMIF(TONG_HOP_LOP!$B$4:$B$15,D36,TONG_HOP_LOP!$G$4:$G$15))</f>
        <v/>
      </c>
      <c r="I36" s="34" t="str">
        <f>IF(D36="","",IFERROR(VLOOKUP(D36,DANH_MUC_LOP!$B$4:$O$15,14,FALSE),DIEU_KHIEN!$B$6))</f>
        <v/>
      </c>
      <c r="J36" s="37"/>
      <c r="K36" s="34" t="str">
        <f t="shared" si="1"/>
        <v/>
      </c>
      <c r="L36" s="34" t="str">
        <f t="shared" si="2"/>
        <v/>
      </c>
      <c r="M36" s="32" t="str">
        <f t="shared" si="3"/>
        <v/>
      </c>
      <c r="N36" s="20"/>
      <c r="O36" s="20"/>
      <c r="P36" s="36" t="str">
        <f t="shared" si="4"/>
        <v/>
      </c>
    </row>
    <row r="37" ht="15.75" customHeight="1">
      <c r="A37" s="31" t="str">
        <f>IFERROR(PHAN_CONG!$A$37,"")</f>
        <v/>
      </c>
      <c r="B37" s="14" t="str">
        <f>IFERROR(PHAN_CONG!$B$37,"")</f>
        <v/>
      </c>
      <c r="C37" s="14" t="str">
        <f>IFERROR(PHAN_CONG!$C$37,"")</f>
        <v/>
      </c>
      <c r="D37" s="14" t="str">
        <f>IFERROR(PHAN_CONG!$D$37,"")</f>
        <v/>
      </c>
      <c r="E37" s="14" t="str">
        <f>IFERROR(PHAN_CONG!$E$37,"")</f>
        <v/>
      </c>
      <c r="F37" s="14" t="str">
        <f>IFERROR(PHAN_CONG!$F$37,"")</f>
        <v/>
      </c>
      <c r="G37" s="14" t="str">
        <f>IF(D37="","",SUMIF(TONG_HOP_LOP!$B$4:$B$15,D37,TONG_HOP_LOP!$E$4:$E$15))</f>
        <v/>
      </c>
      <c r="H37" s="32" t="str">
        <f>IF(D37="","",SUMIF(TONG_HOP_LOP!$B$4:$B$15,D37,TONG_HOP_LOP!$G$4:$G$15))</f>
        <v/>
      </c>
      <c r="I37" s="34" t="str">
        <f>IF(D37="","",IFERROR(VLOOKUP(D37,DANH_MUC_LOP!$B$4:$O$15,14,FALSE),DIEU_KHIEN!$B$6))</f>
        <v/>
      </c>
      <c r="J37" s="37"/>
      <c r="K37" s="34" t="str">
        <f t="shared" si="1"/>
        <v/>
      </c>
      <c r="L37" s="34" t="str">
        <f t="shared" si="2"/>
        <v/>
      </c>
      <c r="M37" s="32" t="str">
        <f t="shared" si="3"/>
        <v/>
      </c>
      <c r="N37" s="20"/>
      <c r="O37" s="20"/>
      <c r="P37" s="36" t="str">
        <f t="shared" si="4"/>
        <v/>
      </c>
    </row>
    <row r="38" ht="15.75" customHeight="1">
      <c r="A38" s="31" t="str">
        <f>IFERROR(PHAN_CONG!$A$38,"")</f>
        <v/>
      </c>
      <c r="B38" s="14" t="str">
        <f>IFERROR(PHAN_CONG!$B$38,"")</f>
        <v/>
      </c>
      <c r="C38" s="14" t="str">
        <f>IFERROR(PHAN_CONG!$C$38,"")</f>
        <v/>
      </c>
      <c r="D38" s="14" t="str">
        <f>IFERROR(PHAN_CONG!$D$38,"")</f>
        <v/>
      </c>
      <c r="E38" s="14" t="str">
        <f>IFERROR(PHAN_CONG!$E$38,"")</f>
        <v/>
      </c>
      <c r="F38" s="14" t="str">
        <f>IFERROR(PHAN_CONG!$F$38,"")</f>
        <v/>
      </c>
      <c r="G38" s="14" t="str">
        <f>IF(D38="","",SUMIF(TONG_HOP_LOP!$B$4:$B$15,D38,TONG_HOP_LOP!$E$4:$E$15))</f>
        <v/>
      </c>
      <c r="H38" s="32" t="str">
        <f>IF(D38="","",SUMIF(TONG_HOP_LOP!$B$4:$B$15,D38,TONG_HOP_LOP!$G$4:$G$15))</f>
        <v/>
      </c>
      <c r="I38" s="34" t="str">
        <f>IF(D38="","",IFERROR(VLOOKUP(D38,DANH_MUC_LOP!$B$4:$O$15,14,FALSE),DIEU_KHIEN!$B$6))</f>
        <v/>
      </c>
      <c r="J38" s="37"/>
      <c r="K38" s="34" t="str">
        <f t="shared" si="1"/>
        <v/>
      </c>
      <c r="L38" s="34" t="str">
        <f t="shared" si="2"/>
        <v/>
      </c>
      <c r="M38" s="32" t="str">
        <f t="shared" si="3"/>
        <v/>
      </c>
      <c r="N38" s="20"/>
      <c r="O38" s="20"/>
      <c r="P38" s="36" t="str">
        <f t="shared" si="4"/>
        <v/>
      </c>
    </row>
    <row r="39" ht="15.75" customHeight="1">
      <c r="A39" s="31" t="str">
        <f>IFERROR(PHAN_CONG!$A$39,"")</f>
        <v/>
      </c>
      <c r="B39" s="14" t="str">
        <f>IFERROR(PHAN_CONG!$B$39,"")</f>
        <v/>
      </c>
      <c r="C39" s="14" t="str">
        <f>IFERROR(PHAN_CONG!$C$39,"")</f>
        <v/>
      </c>
      <c r="D39" s="14" t="str">
        <f>IFERROR(PHAN_CONG!$D$39,"")</f>
        <v/>
      </c>
      <c r="E39" s="14" t="str">
        <f>IFERROR(PHAN_CONG!$E$39,"")</f>
        <v/>
      </c>
      <c r="F39" s="14" t="str">
        <f>IFERROR(PHAN_CONG!$F$39,"")</f>
        <v/>
      </c>
      <c r="G39" s="14" t="str">
        <f>IF(D39="","",SUMIF(TONG_HOP_LOP!$B$4:$B$15,D39,TONG_HOP_LOP!$E$4:$E$15))</f>
        <v/>
      </c>
      <c r="H39" s="32" t="str">
        <f>IF(D39="","",SUMIF(TONG_HOP_LOP!$B$4:$B$15,D39,TONG_HOP_LOP!$G$4:$G$15))</f>
        <v/>
      </c>
      <c r="I39" s="34" t="str">
        <f>IF(D39="","",IFERROR(VLOOKUP(D39,DANH_MUC_LOP!$B$4:$O$15,14,FALSE),DIEU_KHIEN!$B$6))</f>
        <v/>
      </c>
      <c r="J39" s="37"/>
      <c r="K39" s="34" t="str">
        <f t="shared" si="1"/>
        <v/>
      </c>
      <c r="L39" s="34" t="str">
        <f t="shared" si="2"/>
        <v/>
      </c>
      <c r="M39" s="32" t="str">
        <f t="shared" si="3"/>
        <v/>
      </c>
      <c r="N39" s="20"/>
      <c r="O39" s="20"/>
      <c r="P39" s="36" t="str">
        <f t="shared" si="4"/>
        <v/>
      </c>
    </row>
    <row r="40" ht="15.75" customHeight="1">
      <c r="A40" s="31" t="str">
        <f>IFERROR(PHAN_CONG!$A$40,"")</f>
        <v/>
      </c>
      <c r="B40" s="14" t="str">
        <f>IFERROR(PHAN_CONG!$B$40,"")</f>
        <v/>
      </c>
      <c r="C40" s="14" t="str">
        <f>IFERROR(PHAN_CONG!$C$40,"")</f>
        <v/>
      </c>
      <c r="D40" s="14" t="str">
        <f>IFERROR(PHAN_CONG!$D$40,"")</f>
        <v/>
      </c>
      <c r="E40" s="14" t="str">
        <f>IFERROR(PHAN_CONG!$E$40,"")</f>
        <v/>
      </c>
      <c r="F40" s="14" t="str">
        <f>IFERROR(PHAN_CONG!$F$40,"")</f>
        <v/>
      </c>
      <c r="G40" s="14" t="str">
        <f>IF(D40="","",SUMIF(TONG_HOP_LOP!$B$4:$B$15,D40,TONG_HOP_LOP!$E$4:$E$15))</f>
        <v/>
      </c>
      <c r="H40" s="32" t="str">
        <f>IF(D40="","",SUMIF(TONG_HOP_LOP!$B$4:$B$15,D40,TONG_HOP_LOP!$G$4:$G$15))</f>
        <v/>
      </c>
      <c r="I40" s="34" t="str">
        <f>IF(D40="","",IFERROR(VLOOKUP(D40,DANH_MUC_LOP!$B$4:$O$15,14,FALSE),DIEU_KHIEN!$B$6))</f>
        <v/>
      </c>
      <c r="J40" s="37"/>
      <c r="K40" s="34" t="str">
        <f t="shared" si="1"/>
        <v/>
      </c>
      <c r="L40" s="34" t="str">
        <f t="shared" si="2"/>
        <v/>
      </c>
      <c r="M40" s="32" t="str">
        <f t="shared" si="3"/>
        <v/>
      </c>
      <c r="N40" s="20"/>
      <c r="O40" s="20"/>
      <c r="P40" s="36" t="str">
        <f t="shared" si="4"/>
        <v/>
      </c>
    </row>
    <row r="41" ht="15.75" customHeight="1">
      <c r="A41" s="31" t="str">
        <f>IFERROR(PHAN_CONG!$A$41,"")</f>
        <v/>
      </c>
      <c r="B41" s="14" t="str">
        <f>IFERROR(PHAN_CONG!$B$41,"")</f>
        <v/>
      </c>
      <c r="C41" s="14" t="str">
        <f>IFERROR(PHAN_CONG!$C$41,"")</f>
        <v/>
      </c>
      <c r="D41" s="14" t="str">
        <f>IFERROR(PHAN_CONG!$D$41,"")</f>
        <v/>
      </c>
      <c r="E41" s="14" t="str">
        <f>IFERROR(PHAN_CONG!$E$41,"")</f>
        <v/>
      </c>
      <c r="F41" s="14" t="str">
        <f>IFERROR(PHAN_CONG!$F$41,"")</f>
        <v/>
      </c>
      <c r="G41" s="14" t="str">
        <f>IF(D41="","",SUMIF(TONG_HOP_LOP!$B$4:$B$15,D41,TONG_HOP_LOP!$E$4:$E$15))</f>
        <v/>
      </c>
      <c r="H41" s="32" t="str">
        <f>IF(D41="","",SUMIF(TONG_HOP_LOP!$B$4:$B$15,D41,TONG_HOP_LOP!$G$4:$G$15))</f>
        <v/>
      </c>
      <c r="I41" s="34" t="str">
        <f>IF(D41="","",IFERROR(VLOOKUP(D41,DANH_MUC_LOP!$B$4:$O$15,14,FALSE),DIEU_KHIEN!$B$6))</f>
        <v/>
      </c>
      <c r="J41" s="37"/>
      <c r="K41" s="34" t="str">
        <f t="shared" si="1"/>
        <v/>
      </c>
      <c r="L41" s="34" t="str">
        <f t="shared" si="2"/>
        <v/>
      </c>
      <c r="M41" s="32" t="str">
        <f t="shared" si="3"/>
        <v/>
      </c>
      <c r="N41" s="20"/>
      <c r="O41" s="20"/>
      <c r="P41" s="36" t="str">
        <f t="shared" si="4"/>
        <v/>
      </c>
    </row>
    <row r="42" ht="15.75" customHeight="1">
      <c r="A42" s="31" t="str">
        <f>IFERROR(PHAN_CONG!$A$42,"")</f>
        <v/>
      </c>
      <c r="B42" s="14" t="str">
        <f>IFERROR(PHAN_CONG!$B$42,"")</f>
        <v/>
      </c>
      <c r="C42" s="14" t="str">
        <f>IFERROR(PHAN_CONG!$C$42,"")</f>
        <v/>
      </c>
      <c r="D42" s="14" t="str">
        <f>IFERROR(PHAN_CONG!$D$42,"")</f>
        <v/>
      </c>
      <c r="E42" s="14" t="str">
        <f>IFERROR(PHAN_CONG!$E$42,"")</f>
        <v/>
      </c>
      <c r="F42" s="14" t="str">
        <f>IFERROR(PHAN_CONG!$F$42,"")</f>
        <v/>
      </c>
      <c r="G42" s="14" t="str">
        <f>IF(D42="","",SUMIF(TONG_HOP_LOP!$B$4:$B$15,D42,TONG_HOP_LOP!$E$4:$E$15))</f>
        <v/>
      </c>
      <c r="H42" s="32" t="str">
        <f>IF(D42="","",SUMIF(TONG_HOP_LOP!$B$4:$B$15,D42,TONG_HOP_LOP!$G$4:$G$15))</f>
        <v/>
      </c>
      <c r="I42" s="34" t="str">
        <f>IF(D42="","",IFERROR(VLOOKUP(D42,DANH_MUC_LOP!$B$4:$O$15,14,FALSE),DIEU_KHIEN!$B$6))</f>
        <v/>
      </c>
      <c r="J42" s="37"/>
      <c r="K42" s="34" t="str">
        <f t="shared" si="1"/>
        <v/>
      </c>
      <c r="L42" s="34" t="str">
        <f t="shared" si="2"/>
        <v/>
      </c>
      <c r="M42" s="32" t="str">
        <f t="shared" si="3"/>
        <v/>
      </c>
      <c r="N42" s="20"/>
      <c r="O42" s="20"/>
      <c r="P42" s="36" t="str">
        <f t="shared" si="4"/>
        <v/>
      </c>
    </row>
    <row r="43" ht="15.75" customHeight="1">
      <c r="A43" s="31" t="str">
        <f>IFERROR(PHAN_CONG!$A$43,"")</f>
        <v/>
      </c>
      <c r="B43" s="14" t="str">
        <f>IFERROR(PHAN_CONG!$B$43,"")</f>
        <v/>
      </c>
      <c r="C43" s="14" t="str">
        <f>IFERROR(PHAN_CONG!$C$43,"")</f>
        <v/>
      </c>
      <c r="D43" s="14" t="str">
        <f>IFERROR(PHAN_CONG!$D$43,"")</f>
        <v/>
      </c>
      <c r="E43" s="14" t="str">
        <f>IFERROR(PHAN_CONG!$E$43,"")</f>
        <v/>
      </c>
      <c r="F43" s="14" t="str">
        <f>IFERROR(PHAN_CONG!$F$43,"")</f>
        <v/>
      </c>
      <c r="G43" s="14" t="str">
        <f>IF(D43="","",SUMIF(TONG_HOP_LOP!$B$4:$B$15,D43,TONG_HOP_LOP!$E$4:$E$15))</f>
        <v/>
      </c>
      <c r="H43" s="32" t="str">
        <f>IF(D43="","",SUMIF(TONG_HOP_LOP!$B$4:$B$15,D43,TONG_HOP_LOP!$G$4:$G$15))</f>
        <v/>
      </c>
      <c r="I43" s="34" t="str">
        <f>IF(D43="","",IFERROR(VLOOKUP(D43,DANH_MUC_LOP!$B$4:$O$15,14,FALSE),DIEU_KHIEN!$B$6))</f>
        <v/>
      </c>
      <c r="J43" s="37"/>
      <c r="K43" s="34" t="str">
        <f t="shared" si="1"/>
        <v/>
      </c>
      <c r="L43" s="34" t="str">
        <f t="shared" si="2"/>
        <v/>
      </c>
      <c r="M43" s="32" t="str">
        <f t="shared" si="3"/>
        <v/>
      </c>
      <c r="N43" s="20"/>
      <c r="O43" s="20"/>
      <c r="P43" s="36" t="str">
        <f t="shared" si="4"/>
        <v/>
      </c>
    </row>
    <row r="44" ht="15.75" customHeight="1">
      <c r="A44" s="31" t="str">
        <f>IFERROR(PHAN_CONG!$A$44,"")</f>
        <v/>
      </c>
      <c r="B44" s="14" t="str">
        <f>IFERROR(PHAN_CONG!$B$44,"")</f>
        <v/>
      </c>
      <c r="C44" s="14" t="str">
        <f>IFERROR(PHAN_CONG!$C$44,"")</f>
        <v/>
      </c>
      <c r="D44" s="14" t="str">
        <f>IFERROR(PHAN_CONG!$D$44,"")</f>
        <v/>
      </c>
      <c r="E44" s="14" t="str">
        <f>IFERROR(PHAN_CONG!$E$44,"")</f>
        <v/>
      </c>
      <c r="F44" s="14" t="str">
        <f>IFERROR(PHAN_CONG!$F$44,"")</f>
        <v/>
      </c>
      <c r="G44" s="14" t="str">
        <f>IF(D44="","",SUMIF(TONG_HOP_LOP!$B$4:$B$15,D44,TONG_HOP_LOP!$E$4:$E$15))</f>
        <v/>
      </c>
      <c r="H44" s="32" t="str">
        <f>IF(D44="","",SUMIF(TONG_HOP_LOP!$B$4:$B$15,D44,TONG_HOP_LOP!$G$4:$G$15))</f>
        <v/>
      </c>
      <c r="I44" s="34" t="str">
        <f>IF(D44="","",IFERROR(VLOOKUP(D44,DANH_MUC_LOP!$B$4:$O$15,14,FALSE),DIEU_KHIEN!$B$6))</f>
        <v/>
      </c>
      <c r="J44" s="37"/>
      <c r="K44" s="34" t="str">
        <f t="shared" si="1"/>
        <v/>
      </c>
      <c r="L44" s="34" t="str">
        <f t="shared" si="2"/>
        <v/>
      </c>
      <c r="M44" s="32" t="str">
        <f t="shared" si="3"/>
        <v/>
      </c>
      <c r="N44" s="20"/>
      <c r="O44" s="20"/>
      <c r="P44" s="36" t="str">
        <f t="shared" si="4"/>
        <v/>
      </c>
    </row>
    <row r="45" ht="15.75" customHeight="1">
      <c r="A45" s="31" t="str">
        <f>IFERROR(PHAN_CONG!$A$45,"")</f>
        <v/>
      </c>
      <c r="B45" s="14" t="str">
        <f>IFERROR(PHAN_CONG!$B$45,"")</f>
        <v/>
      </c>
      <c r="C45" s="14" t="str">
        <f>IFERROR(PHAN_CONG!$C$45,"")</f>
        <v/>
      </c>
      <c r="D45" s="14" t="str">
        <f>IFERROR(PHAN_CONG!$D$45,"")</f>
        <v/>
      </c>
      <c r="E45" s="14" t="str">
        <f>IFERROR(PHAN_CONG!$E$45,"")</f>
        <v/>
      </c>
      <c r="F45" s="14" t="str">
        <f>IFERROR(PHAN_CONG!$F$45,"")</f>
        <v/>
      </c>
      <c r="G45" s="14" t="str">
        <f>IF(D45="","",SUMIF(TONG_HOP_LOP!$B$4:$B$15,D45,TONG_HOP_LOP!$E$4:$E$15))</f>
        <v/>
      </c>
      <c r="H45" s="32" t="str">
        <f>IF(D45="","",SUMIF(TONG_HOP_LOP!$B$4:$B$15,D45,TONG_HOP_LOP!$G$4:$G$15))</f>
        <v/>
      </c>
      <c r="I45" s="34" t="str">
        <f>IF(D45="","",IFERROR(VLOOKUP(D45,DANH_MUC_LOP!$B$4:$O$15,14,FALSE),DIEU_KHIEN!$B$6))</f>
        <v/>
      </c>
      <c r="J45" s="37"/>
      <c r="K45" s="34" t="str">
        <f t="shared" si="1"/>
        <v/>
      </c>
      <c r="L45" s="34" t="str">
        <f t="shared" si="2"/>
        <v/>
      </c>
      <c r="M45" s="32" t="str">
        <f t="shared" si="3"/>
        <v/>
      </c>
      <c r="N45" s="20"/>
      <c r="O45" s="20"/>
      <c r="P45" s="36" t="str">
        <f t="shared" si="4"/>
        <v/>
      </c>
    </row>
    <row r="46" ht="15.75" customHeight="1">
      <c r="A46" s="31" t="str">
        <f>IFERROR(PHAN_CONG!$A$46,"")</f>
        <v/>
      </c>
      <c r="B46" s="14" t="str">
        <f>IFERROR(PHAN_CONG!$B$46,"")</f>
        <v/>
      </c>
      <c r="C46" s="14" t="str">
        <f>IFERROR(PHAN_CONG!$C$46,"")</f>
        <v/>
      </c>
      <c r="D46" s="14" t="str">
        <f>IFERROR(PHAN_CONG!$D$46,"")</f>
        <v/>
      </c>
      <c r="E46" s="14" t="str">
        <f>IFERROR(PHAN_CONG!$E$46,"")</f>
        <v/>
      </c>
      <c r="F46" s="14" t="str">
        <f>IFERROR(PHAN_CONG!$F$46,"")</f>
        <v/>
      </c>
      <c r="G46" s="14" t="str">
        <f>IF(D46="","",SUMIF(TONG_HOP_LOP!$B$4:$B$15,D46,TONG_HOP_LOP!$E$4:$E$15))</f>
        <v/>
      </c>
      <c r="H46" s="32" t="str">
        <f>IF(D46="","",SUMIF(TONG_HOP_LOP!$B$4:$B$15,D46,TONG_HOP_LOP!$G$4:$G$15))</f>
        <v/>
      </c>
      <c r="I46" s="34" t="str">
        <f>IF(D46="","",IFERROR(VLOOKUP(D46,DANH_MUC_LOP!$B$4:$O$15,14,FALSE),DIEU_KHIEN!$B$6))</f>
        <v/>
      </c>
      <c r="J46" s="37"/>
      <c r="K46" s="34" t="str">
        <f t="shared" si="1"/>
        <v/>
      </c>
      <c r="L46" s="34" t="str">
        <f t="shared" si="2"/>
        <v/>
      </c>
      <c r="M46" s="32" t="str">
        <f t="shared" si="3"/>
        <v/>
      </c>
      <c r="N46" s="20"/>
      <c r="O46" s="20"/>
      <c r="P46" s="36" t="str">
        <f t="shared" si="4"/>
        <v/>
      </c>
    </row>
    <row r="47" ht="15.75" customHeight="1">
      <c r="A47" s="31" t="str">
        <f>IFERROR(PHAN_CONG!$A$47,"")</f>
        <v/>
      </c>
      <c r="B47" s="14" t="str">
        <f>IFERROR(PHAN_CONG!$B$47,"")</f>
        <v/>
      </c>
      <c r="C47" s="14" t="str">
        <f>IFERROR(PHAN_CONG!$C$47,"")</f>
        <v/>
      </c>
      <c r="D47" s="14" t="str">
        <f>IFERROR(PHAN_CONG!$D$47,"")</f>
        <v/>
      </c>
      <c r="E47" s="14" t="str">
        <f>IFERROR(PHAN_CONG!$E$47,"")</f>
        <v/>
      </c>
      <c r="F47" s="14" t="str">
        <f>IFERROR(PHAN_CONG!$F$47,"")</f>
        <v/>
      </c>
      <c r="G47" s="14" t="str">
        <f>IF(D47="","",SUMIF(TONG_HOP_LOP!$B$4:$B$15,D47,TONG_HOP_LOP!$E$4:$E$15))</f>
        <v/>
      </c>
      <c r="H47" s="32" t="str">
        <f>IF(D47="","",SUMIF(TONG_HOP_LOP!$B$4:$B$15,D47,TONG_HOP_LOP!$G$4:$G$15))</f>
        <v/>
      </c>
      <c r="I47" s="34" t="str">
        <f>IF(D47="","",IFERROR(VLOOKUP(D47,DANH_MUC_LOP!$B$4:$O$15,14,FALSE),DIEU_KHIEN!$B$6))</f>
        <v/>
      </c>
      <c r="J47" s="37"/>
      <c r="K47" s="34" t="str">
        <f t="shared" si="1"/>
        <v/>
      </c>
      <c r="L47" s="34" t="str">
        <f t="shared" si="2"/>
        <v/>
      </c>
      <c r="M47" s="32" t="str">
        <f t="shared" si="3"/>
        <v/>
      </c>
      <c r="N47" s="20"/>
      <c r="O47" s="20"/>
      <c r="P47" s="36" t="str">
        <f t="shared" si="4"/>
        <v/>
      </c>
    </row>
    <row r="48" ht="15.75" customHeight="1">
      <c r="A48" s="31" t="str">
        <f>IFERROR(PHAN_CONG!$A$48,"")</f>
        <v/>
      </c>
      <c r="B48" s="14" t="str">
        <f>IFERROR(PHAN_CONG!$B$48,"")</f>
        <v/>
      </c>
      <c r="C48" s="14" t="str">
        <f>IFERROR(PHAN_CONG!$C$48,"")</f>
        <v/>
      </c>
      <c r="D48" s="14" t="str">
        <f>IFERROR(PHAN_CONG!$D$48,"")</f>
        <v/>
      </c>
      <c r="E48" s="14" t="str">
        <f>IFERROR(PHAN_CONG!$E$48,"")</f>
        <v/>
      </c>
      <c r="F48" s="14" t="str">
        <f>IFERROR(PHAN_CONG!$F$48,"")</f>
        <v/>
      </c>
      <c r="G48" s="14" t="str">
        <f>IF(D48="","",SUMIF(TONG_HOP_LOP!$B$4:$B$15,D48,TONG_HOP_LOP!$E$4:$E$15))</f>
        <v/>
      </c>
      <c r="H48" s="32" t="str">
        <f>IF(D48="","",SUMIF(TONG_HOP_LOP!$B$4:$B$15,D48,TONG_HOP_LOP!$G$4:$G$15))</f>
        <v/>
      </c>
      <c r="I48" s="34" t="str">
        <f>IF(D48="","",IFERROR(VLOOKUP(D48,DANH_MUC_LOP!$B$4:$O$15,14,FALSE),DIEU_KHIEN!$B$6))</f>
        <v/>
      </c>
      <c r="J48" s="37"/>
      <c r="K48" s="34" t="str">
        <f t="shared" si="1"/>
        <v/>
      </c>
      <c r="L48" s="34" t="str">
        <f t="shared" si="2"/>
        <v/>
      </c>
      <c r="M48" s="32" t="str">
        <f t="shared" si="3"/>
        <v/>
      </c>
      <c r="N48" s="20"/>
      <c r="O48" s="20"/>
      <c r="P48" s="36" t="str">
        <f t="shared" si="4"/>
        <v/>
      </c>
    </row>
    <row r="49" ht="15.75" customHeight="1">
      <c r="A49" s="31" t="str">
        <f>IFERROR(PHAN_CONG!$A$49,"")</f>
        <v/>
      </c>
      <c r="B49" s="14" t="str">
        <f>IFERROR(PHAN_CONG!$B$49,"")</f>
        <v/>
      </c>
      <c r="C49" s="14" t="str">
        <f>IFERROR(PHAN_CONG!$C$49,"")</f>
        <v/>
      </c>
      <c r="D49" s="14" t="str">
        <f>IFERROR(PHAN_CONG!$D$49,"")</f>
        <v/>
      </c>
      <c r="E49" s="14" t="str">
        <f>IFERROR(PHAN_CONG!$E$49,"")</f>
        <v/>
      </c>
      <c r="F49" s="14" t="str">
        <f>IFERROR(PHAN_CONG!$F$49,"")</f>
        <v/>
      </c>
      <c r="G49" s="14" t="str">
        <f>IF(D49="","",SUMIF(TONG_HOP_LOP!$B$4:$B$15,D49,TONG_HOP_LOP!$E$4:$E$15))</f>
        <v/>
      </c>
      <c r="H49" s="32" t="str">
        <f>IF(D49="","",SUMIF(TONG_HOP_LOP!$B$4:$B$15,D49,TONG_HOP_LOP!$G$4:$G$15))</f>
        <v/>
      </c>
      <c r="I49" s="34" t="str">
        <f>IF(D49="","",IFERROR(VLOOKUP(D49,DANH_MUC_LOP!$B$4:$O$15,14,FALSE),DIEU_KHIEN!$B$6))</f>
        <v/>
      </c>
      <c r="J49" s="37"/>
      <c r="K49" s="34" t="str">
        <f t="shared" si="1"/>
        <v/>
      </c>
      <c r="L49" s="34" t="str">
        <f t="shared" si="2"/>
        <v/>
      </c>
      <c r="M49" s="32" t="str">
        <f t="shared" si="3"/>
        <v/>
      </c>
      <c r="N49" s="20"/>
      <c r="O49" s="20"/>
      <c r="P49" s="36" t="str">
        <f t="shared" si="4"/>
        <v/>
      </c>
    </row>
    <row r="50" ht="15.75" customHeight="1">
      <c r="A50" s="31" t="str">
        <f>IFERROR(PHAN_CONG!$A$50,"")</f>
        <v/>
      </c>
      <c r="B50" s="14" t="str">
        <f>IFERROR(PHAN_CONG!$B$50,"")</f>
        <v/>
      </c>
      <c r="C50" s="14" t="str">
        <f>IFERROR(PHAN_CONG!$C$50,"")</f>
        <v/>
      </c>
      <c r="D50" s="14" t="str">
        <f>IFERROR(PHAN_CONG!$D$50,"")</f>
        <v/>
      </c>
      <c r="E50" s="14" t="str">
        <f>IFERROR(PHAN_CONG!$E$50,"")</f>
        <v/>
      </c>
      <c r="F50" s="14" t="str">
        <f>IFERROR(PHAN_CONG!$F$50,"")</f>
        <v/>
      </c>
      <c r="G50" s="14" t="str">
        <f>IF(D50="","",SUMIF(TONG_HOP_LOP!$B$4:$B$15,D50,TONG_HOP_LOP!$E$4:$E$15))</f>
        <v/>
      </c>
      <c r="H50" s="32" t="str">
        <f>IF(D50="","",SUMIF(TONG_HOP_LOP!$B$4:$B$15,D50,TONG_HOP_LOP!$G$4:$G$15))</f>
        <v/>
      </c>
      <c r="I50" s="34" t="str">
        <f>IF(D50="","",IFERROR(VLOOKUP(D50,DANH_MUC_LOP!$B$4:$O$15,14,FALSE),DIEU_KHIEN!$B$6))</f>
        <v/>
      </c>
      <c r="J50" s="37"/>
      <c r="K50" s="34" t="str">
        <f t="shared" si="1"/>
        <v/>
      </c>
      <c r="L50" s="34" t="str">
        <f t="shared" si="2"/>
        <v/>
      </c>
      <c r="M50" s="32" t="str">
        <f t="shared" si="3"/>
        <v/>
      </c>
      <c r="N50" s="20"/>
      <c r="O50" s="20"/>
      <c r="P50" s="36" t="str">
        <f t="shared" si="4"/>
        <v/>
      </c>
    </row>
    <row r="51" ht="15.75" customHeight="1">
      <c r="A51" s="31" t="str">
        <f>IFERROR(PHAN_CONG!$A$51,"")</f>
        <v/>
      </c>
      <c r="B51" s="14" t="str">
        <f>IFERROR(PHAN_CONG!$B$51,"")</f>
        <v/>
      </c>
      <c r="C51" s="14" t="str">
        <f>IFERROR(PHAN_CONG!$C$51,"")</f>
        <v/>
      </c>
      <c r="D51" s="14" t="str">
        <f>IFERROR(PHAN_CONG!$D$51,"")</f>
        <v/>
      </c>
      <c r="E51" s="14" t="str">
        <f>IFERROR(PHAN_CONG!$E$51,"")</f>
        <v/>
      </c>
      <c r="F51" s="14" t="str">
        <f>IFERROR(PHAN_CONG!$F$51,"")</f>
        <v/>
      </c>
      <c r="G51" s="14" t="str">
        <f>IF(D51="","",SUMIF(TONG_HOP_LOP!$B$4:$B$15,D51,TONG_HOP_LOP!$E$4:$E$15))</f>
        <v/>
      </c>
      <c r="H51" s="32" t="str">
        <f>IF(D51="","",SUMIF(TONG_HOP_LOP!$B$4:$B$15,D51,TONG_HOP_LOP!$G$4:$G$15))</f>
        <v/>
      </c>
      <c r="I51" s="34" t="str">
        <f>IF(D51="","",IFERROR(VLOOKUP(D51,DANH_MUC_LOP!$B$4:$O$15,14,FALSE),DIEU_KHIEN!$B$6))</f>
        <v/>
      </c>
      <c r="J51" s="37"/>
      <c r="K51" s="34" t="str">
        <f t="shared" si="1"/>
        <v/>
      </c>
      <c r="L51" s="34" t="str">
        <f t="shared" si="2"/>
        <v/>
      </c>
      <c r="M51" s="32" t="str">
        <f t="shared" si="3"/>
        <v/>
      </c>
      <c r="N51" s="20"/>
      <c r="O51" s="20"/>
      <c r="P51" s="36" t="str">
        <f t="shared" si="4"/>
        <v/>
      </c>
    </row>
    <row r="52" ht="15.75" customHeight="1">
      <c r="A52" s="31" t="str">
        <f>IFERROR(PHAN_CONG!$A$52,"")</f>
        <v/>
      </c>
      <c r="B52" s="14" t="str">
        <f>IFERROR(PHAN_CONG!$B$52,"")</f>
        <v/>
      </c>
      <c r="C52" s="14" t="str">
        <f>IFERROR(PHAN_CONG!$C$52,"")</f>
        <v/>
      </c>
      <c r="D52" s="14" t="str">
        <f>IFERROR(PHAN_CONG!$D$52,"")</f>
        <v/>
      </c>
      <c r="E52" s="14" t="str">
        <f>IFERROR(PHAN_CONG!$E$52,"")</f>
        <v/>
      </c>
      <c r="F52" s="14" t="str">
        <f>IFERROR(PHAN_CONG!$F$52,"")</f>
        <v/>
      </c>
      <c r="G52" s="14" t="str">
        <f>IF(D52="","",SUMIF(TONG_HOP_LOP!$B$4:$B$15,D52,TONG_HOP_LOP!$E$4:$E$15))</f>
        <v/>
      </c>
      <c r="H52" s="32" t="str">
        <f>IF(D52="","",SUMIF(TONG_HOP_LOP!$B$4:$B$15,D52,TONG_HOP_LOP!$G$4:$G$15))</f>
        <v/>
      </c>
      <c r="I52" s="34" t="str">
        <f>IF(D52="","",IFERROR(VLOOKUP(D52,DANH_MUC_LOP!$B$4:$O$15,14,FALSE),DIEU_KHIEN!$B$6))</f>
        <v/>
      </c>
      <c r="J52" s="37"/>
      <c r="K52" s="34" t="str">
        <f t="shared" si="1"/>
        <v/>
      </c>
      <c r="L52" s="34" t="str">
        <f t="shared" si="2"/>
        <v/>
      </c>
      <c r="M52" s="32" t="str">
        <f t="shared" si="3"/>
        <v/>
      </c>
      <c r="N52" s="20"/>
      <c r="O52" s="20"/>
      <c r="P52" s="36" t="str">
        <f t="shared" si="4"/>
        <v/>
      </c>
    </row>
    <row r="53" ht="15.75" customHeight="1">
      <c r="A53" s="31" t="str">
        <f>IFERROR(PHAN_CONG!$A$53,"")</f>
        <v/>
      </c>
      <c r="B53" s="14" t="str">
        <f>IFERROR(PHAN_CONG!$B$53,"")</f>
        <v/>
      </c>
      <c r="C53" s="14" t="str">
        <f>IFERROR(PHAN_CONG!$C$53,"")</f>
        <v/>
      </c>
      <c r="D53" s="14" t="str">
        <f>IFERROR(PHAN_CONG!$D$53,"")</f>
        <v/>
      </c>
      <c r="E53" s="14" t="str">
        <f>IFERROR(PHAN_CONG!$E$53,"")</f>
        <v/>
      </c>
      <c r="F53" s="14" t="str">
        <f>IFERROR(PHAN_CONG!$F$53,"")</f>
        <v/>
      </c>
      <c r="G53" s="14" t="str">
        <f>IF(D53="","",SUMIF(TONG_HOP_LOP!$B$4:$B$15,D53,TONG_HOP_LOP!$E$4:$E$15))</f>
        <v/>
      </c>
      <c r="H53" s="32" t="str">
        <f>IF(D53="","",SUMIF(TONG_HOP_LOP!$B$4:$B$15,D53,TONG_HOP_LOP!$G$4:$G$15))</f>
        <v/>
      </c>
      <c r="I53" s="34" t="str">
        <f>IF(D53="","",IFERROR(VLOOKUP(D53,DANH_MUC_LOP!$B$4:$O$15,14,FALSE),DIEU_KHIEN!$B$6))</f>
        <v/>
      </c>
      <c r="J53" s="37"/>
      <c r="K53" s="34" t="str">
        <f t="shared" si="1"/>
        <v/>
      </c>
      <c r="L53" s="34" t="str">
        <f t="shared" si="2"/>
        <v/>
      </c>
      <c r="M53" s="32" t="str">
        <f t="shared" si="3"/>
        <v/>
      </c>
      <c r="N53" s="20"/>
      <c r="O53" s="20"/>
      <c r="P53" s="36" t="str">
        <f t="shared" si="4"/>
        <v/>
      </c>
    </row>
    <row r="54" ht="15.75" customHeight="1">
      <c r="A54" s="31" t="str">
        <f>IFERROR(PHAN_CONG!$A$55,"")</f>
        <v/>
      </c>
      <c r="B54" s="14" t="str">
        <f>IFERROR(PHAN_CONG!$B$55,"")</f>
        <v/>
      </c>
      <c r="C54" s="14" t="str">
        <f>IFERROR(PHAN_CONG!$C$55,"")</f>
        <v/>
      </c>
      <c r="D54" s="14" t="str">
        <f>IFERROR(PHAN_CONG!$D$55,"")</f>
        <v/>
      </c>
      <c r="E54" s="14" t="str">
        <f>IFERROR(PHAN_CONG!$E$55,"")</f>
        <v/>
      </c>
      <c r="F54" s="14" t="str">
        <f>IFERROR(PHAN_CONG!$F$55,"")</f>
        <v/>
      </c>
      <c r="G54" s="14" t="str">
        <f>IF(D54="","",SUMIF(TONG_HOP_LOP!$B$4:$B$15,D54,TONG_HOP_LOP!$E$4:$E$15))</f>
        <v/>
      </c>
      <c r="H54" s="32" t="str">
        <f>IF(D54="","",SUMIF(TONG_HOP_LOP!$B$4:$B$15,D54,TONG_HOP_LOP!$G$4:$G$15))</f>
        <v/>
      </c>
      <c r="I54" s="34" t="str">
        <f>IF(D54="","",IFERROR(VLOOKUP(D54,DANH_MUC_LOP!$B$4:$O$15,14,FALSE),DIEU_KHIEN!$B$6))</f>
        <v/>
      </c>
      <c r="J54" s="37"/>
      <c r="K54" s="34" t="str">
        <f t="shared" si="1"/>
        <v/>
      </c>
      <c r="L54" s="34" t="str">
        <f t="shared" si="2"/>
        <v/>
      </c>
      <c r="M54" s="32" t="str">
        <f t="shared" si="3"/>
        <v/>
      </c>
      <c r="N54" s="20"/>
      <c r="O54" s="20"/>
      <c r="P54" s="36" t="str">
        <f t="shared" si="4"/>
        <v/>
      </c>
    </row>
    <row r="55" ht="15.75" customHeight="1">
      <c r="A55" s="31" t="str">
        <f>IFERROR(PHAN_CONG!$A$56,"")</f>
        <v/>
      </c>
      <c r="B55" s="14" t="str">
        <f>IFERROR(PHAN_CONG!$B$56,"")</f>
        <v/>
      </c>
      <c r="C55" s="14" t="str">
        <f>IFERROR(PHAN_CONG!$C$56,"")</f>
        <v/>
      </c>
      <c r="D55" s="14" t="str">
        <f>IFERROR(PHAN_CONG!$D$56,"")</f>
        <v/>
      </c>
      <c r="E55" s="14" t="str">
        <f>IFERROR(PHAN_CONG!$E$56,"")</f>
        <v/>
      </c>
      <c r="F55" s="14" t="str">
        <f>IFERROR(PHAN_CONG!$F$56,"")</f>
        <v/>
      </c>
      <c r="G55" s="14" t="str">
        <f>IF(D55="","",SUMIF(TONG_HOP_LOP!$B$4:$B$15,D55,TONG_HOP_LOP!$E$4:$E$15))</f>
        <v/>
      </c>
      <c r="H55" s="32" t="str">
        <f>IF(D55="","",SUMIF(TONG_HOP_LOP!$B$4:$B$15,D55,TONG_HOP_LOP!$G$4:$G$15))</f>
        <v/>
      </c>
      <c r="I55" s="34" t="str">
        <f>IF(D55="","",IFERROR(VLOOKUP(D55,DANH_MUC_LOP!$B$4:$O$15,14,FALSE),DIEU_KHIEN!$B$6))</f>
        <v/>
      </c>
      <c r="J55" s="37"/>
      <c r="K55" s="34" t="str">
        <f t="shared" si="1"/>
        <v/>
      </c>
      <c r="L55" s="34" t="str">
        <f t="shared" si="2"/>
        <v/>
      </c>
      <c r="M55" s="32" t="str">
        <f t="shared" si="3"/>
        <v/>
      </c>
      <c r="N55" s="20"/>
      <c r="O55" s="20"/>
      <c r="P55" s="36" t="str">
        <f t="shared" si="4"/>
        <v/>
      </c>
    </row>
    <row r="56" ht="15.75" customHeight="1">
      <c r="A56" s="31" t="str">
        <f>IFERROR(PHAN_CONG!$A$57,"")</f>
        <v/>
      </c>
      <c r="B56" s="14" t="str">
        <f>IFERROR(PHAN_CONG!$B$57,"")</f>
        <v/>
      </c>
      <c r="C56" s="14" t="str">
        <f>IFERROR(PHAN_CONG!$C$57,"")</f>
        <v/>
      </c>
      <c r="D56" s="14" t="str">
        <f>IFERROR(PHAN_CONG!$D$57,"")</f>
        <v/>
      </c>
      <c r="E56" s="14" t="str">
        <f>IFERROR(PHAN_CONG!$E$57,"")</f>
        <v/>
      </c>
      <c r="F56" s="14" t="str">
        <f>IFERROR(PHAN_CONG!$F$57,"")</f>
        <v/>
      </c>
      <c r="G56" s="14" t="str">
        <f>IF(D56="","",SUMIF(TONG_HOP_LOP!$B$4:$B$15,D56,TONG_HOP_LOP!$E$4:$E$15))</f>
        <v/>
      </c>
      <c r="H56" s="32" t="str">
        <f>IF(D56="","",SUMIF(TONG_HOP_LOP!$B$4:$B$15,D56,TONG_HOP_LOP!$G$4:$G$15))</f>
        <v/>
      </c>
      <c r="I56" s="34" t="str">
        <f>IF(D56="","",IFERROR(VLOOKUP(D56,DANH_MUC_LOP!$B$4:$O$15,14,FALSE),DIEU_KHIEN!$B$6))</f>
        <v/>
      </c>
      <c r="J56" s="37"/>
      <c r="K56" s="34" t="str">
        <f t="shared" si="1"/>
        <v/>
      </c>
      <c r="L56" s="34" t="str">
        <f t="shared" si="2"/>
        <v/>
      </c>
      <c r="M56" s="32" t="str">
        <f t="shared" si="3"/>
        <v/>
      </c>
      <c r="N56" s="20"/>
      <c r="O56" s="20"/>
      <c r="P56" s="36" t="str">
        <f t="shared" si="4"/>
        <v/>
      </c>
    </row>
    <row r="57" ht="15.75" customHeight="1">
      <c r="A57" s="31" t="str">
        <f>IFERROR(PHAN_CONG!$A$58,"")</f>
        <v/>
      </c>
      <c r="B57" s="14" t="str">
        <f>IFERROR(PHAN_CONG!$B$58,"")</f>
        <v/>
      </c>
      <c r="C57" s="14" t="str">
        <f>IFERROR(PHAN_CONG!$C$58,"")</f>
        <v/>
      </c>
      <c r="D57" s="14" t="str">
        <f>IFERROR(PHAN_CONG!$D$58,"")</f>
        <v/>
      </c>
      <c r="E57" s="14" t="str">
        <f>IFERROR(PHAN_CONG!$E$58,"")</f>
        <v/>
      </c>
      <c r="F57" s="14" t="str">
        <f>IFERROR(PHAN_CONG!$F$58,"")</f>
        <v/>
      </c>
      <c r="G57" s="14" t="str">
        <f>IF(D57="","",SUMIF(TONG_HOP_LOP!$B$4:$B$15,D57,TONG_HOP_LOP!$E$4:$E$15))</f>
        <v/>
      </c>
      <c r="H57" s="32" t="str">
        <f>IF(D57="","",SUMIF(TONG_HOP_LOP!$B$4:$B$15,D57,TONG_HOP_LOP!$G$4:$G$15))</f>
        <v/>
      </c>
      <c r="I57" s="34" t="str">
        <f>IF(D57="","",IFERROR(VLOOKUP(D57,DANH_MUC_LOP!$B$4:$O$15,14,FALSE),DIEU_KHIEN!$B$6))</f>
        <v/>
      </c>
      <c r="J57" s="37"/>
      <c r="K57" s="34" t="str">
        <f t="shared" si="1"/>
        <v/>
      </c>
      <c r="L57" s="34" t="str">
        <f t="shared" si="2"/>
        <v/>
      </c>
      <c r="M57" s="32" t="str">
        <f t="shared" si="3"/>
        <v/>
      </c>
      <c r="N57" s="20"/>
      <c r="O57" s="20"/>
      <c r="P57" s="36" t="str">
        <f t="shared" si="4"/>
        <v/>
      </c>
    </row>
    <row r="58" ht="15.75" customHeight="1">
      <c r="A58" s="31" t="str">
        <f>IFERROR(PHAN_CONG!$A$59,"")</f>
        <v/>
      </c>
      <c r="B58" s="14" t="str">
        <f>IFERROR(PHAN_CONG!$B$59,"")</f>
        <v/>
      </c>
      <c r="C58" s="14" t="str">
        <f>IFERROR(PHAN_CONG!$C$59,"")</f>
        <v/>
      </c>
      <c r="D58" s="14" t="str">
        <f>IFERROR(PHAN_CONG!$D$59,"")</f>
        <v/>
      </c>
      <c r="E58" s="14" t="str">
        <f>IFERROR(PHAN_CONG!$E$59,"")</f>
        <v/>
      </c>
      <c r="F58" s="14" t="str">
        <f>IFERROR(PHAN_CONG!$F$59,"")</f>
        <v/>
      </c>
      <c r="G58" s="14" t="str">
        <f>IF(D58="","",SUMIF(TONG_HOP_LOP!$B$4:$B$15,D58,TONG_HOP_LOP!$E$4:$E$15))</f>
        <v/>
      </c>
      <c r="H58" s="32" t="str">
        <f>IF(D58="","",SUMIF(TONG_HOP_LOP!$B$4:$B$15,D58,TONG_HOP_LOP!$G$4:$G$15))</f>
        <v/>
      </c>
      <c r="I58" s="34" t="str">
        <f>IF(D58="","",IFERROR(VLOOKUP(D58,DANH_MUC_LOP!$B$4:$O$15,14,FALSE),DIEU_KHIEN!$B$6))</f>
        <v/>
      </c>
      <c r="J58" s="37"/>
      <c r="K58" s="34" t="str">
        <f t="shared" si="1"/>
        <v/>
      </c>
      <c r="L58" s="34" t="str">
        <f t="shared" si="2"/>
        <v/>
      </c>
      <c r="M58" s="32" t="str">
        <f t="shared" si="3"/>
        <v/>
      </c>
      <c r="N58" s="20"/>
      <c r="O58" s="20"/>
      <c r="P58" s="36" t="str">
        <f t="shared" si="4"/>
        <v/>
      </c>
    </row>
    <row r="59" ht="15.75" customHeight="1">
      <c r="A59" s="31" t="str">
        <f>IFERROR(PHAN_CONG!$A$60,"")</f>
        <v/>
      </c>
      <c r="B59" s="14" t="str">
        <f>IFERROR(PHAN_CONG!$B$60,"")</f>
        <v/>
      </c>
      <c r="C59" s="14" t="str">
        <f>IFERROR(PHAN_CONG!$C$60,"")</f>
        <v/>
      </c>
      <c r="D59" s="14" t="str">
        <f>IFERROR(PHAN_CONG!$D$60,"")</f>
        <v/>
      </c>
      <c r="E59" s="14" t="str">
        <f>IFERROR(PHAN_CONG!$E$60,"")</f>
        <v/>
      </c>
      <c r="F59" s="14" t="str">
        <f>IFERROR(PHAN_CONG!$F$60,"")</f>
        <v/>
      </c>
      <c r="G59" s="14" t="str">
        <f>IF(D59="","",SUMIF(TONG_HOP_LOP!$B$4:$B$15,D59,TONG_HOP_LOP!$E$4:$E$15))</f>
        <v/>
      </c>
      <c r="H59" s="32" t="str">
        <f>IF(D59="","",SUMIF(TONG_HOP_LOP!$B$4:$B$15,D59,TONG_HOP_LOP!$G$4:$G$15))</f>
        <v/>
      </c>
      <c r="I59" s="34" t="str">
        <f>IF(D59="","",IFERROR(VLOOKUP(D59,DANH_MUC_LOP!$B$4:$O$15,14,FALSE),DIEU_KHIEN!$B$6))</f>
        <v/>
      </c>
      <c r="J59" s="37"/>
      <c r="K59" s="34" t="str">
        <f t="shared" si="1"/>
        <v/>
      </c>
      <c r="L59" s="34" t="str">
        <f t="shared" si="2"/>
        <v/>
      </c>
      <c r="M59" s="32" t="str">
        <f t="shared" si="3"/>
        <v/>
      </c>
      <c r="N59" s="20"/>
      <c r="O59" s="20"/>
      <c r="P59" s="36" t="str">
        <f t="shared" si="4"/>
        <v/>
      </c>
    </row>
    <row r="60" ht="15.75" customHeight="1">
      <c r="A60" s="31" t="str">
        <f>IFERROR(PHAN_CONG!$A$61,"")</f>
        <v/>
      </c>
      <c r="B60" s="14" t="str">
        <f>IFERROR(PHAN_CONG!$B$61,"")</f>
        <v/>
      </c>
      <c r="C60" s="14" t="str">
        <f>IFERROR(PHAN_CONG!$C$61,"")</f>
        <v/>
      </c>
      <c r="D60" s="14" t="str">
        <f>IFERROR(PHAN_CONG!$D$61,"")</f>
        <v/>
      </c>
      <c r="E60" s="14" t="str">
        <f>IFERROR(PHAN_CONG!$E$61,"")</f>
        <v/>
      </c>
      <c r="F60" s="14" t="str">
        <f>IFERROR(PHAN_CONG!$F$61,"")</f>
        <v/>
      </c>
      <c r="G60" s="14" t="str">
        <f>IF(D60="","",SUMIF(TONG_HOP_LOP!$B$4:$B$15,D60,TONG_HOP_LOP!$E$4:$E$15))</f>
        <v/>
      </c>
      <c r="H60" s="32" t="str">
        <f>IF(D60="","",SUMIF(TONG_HOP_LOP!$B$4:$B$15,D60,TONG_HOP_LOP!$G$4:$G$15))</f>
        <v/>
      </c>
      <c r="I60" s="34" t="str">
        <f>IF(D60="","",IFERROR(VLOOKUP(D60,DANH_MUC_LOP!$B$4:$O$15,14,FALSE),DIEU_KHIEN!$B$6))</f>
        <v/>
      </c>
      <c r="J60" s="37"/>
      <c r="K60" s="34" t="str">
        <f t="shared" si="1"/>
        <v/>
      </c>
      <c r="L60" s="34" t="str">
        <f t="shared" si="2"/>
        <v/>
      </c>
      <c r="M60" s="32" t="str">
        <f t="shared" si="3"/>
        <v/>
      </c>
      <c r="N60" s="20"/>
      <c r="O60" s="20"/>
      <c r="P60" s="36" t="str">
        <f t="shared" si="4"/>
        <v/>
      </c>
    </row>
    <row r="61" ht="15.75" customHeight="1">
      <c r="A61" s="31" t="str">
        <f>IFERROR(PHAN_CONG!$A$62,"")</f>
        <v/>
      </c>
      <c r="B61" s="14" t="str">
        <f>IFERROR(PHAN_CONG!$B$62,"")</f>
        <v/>
      </c>
      <c r="C61" s="14" t="str">
        <f>IFERROR(PHAN_CONG!$C$62,"")</f>
        <v/>
      </c>
      <c r="D61" s="14" t="str">
        <f>IFERROR(PHAN_CONG!$D$62,"")</f>
        <v/>
      </c>
      <c r="E61" s="14" t="str">
        <f>IFERROR(PHAN_CONG!$E$62,"")</f>
        <v/>
      </c>
      <c r="F61" s="14" t="str">
        <f>IFERROR(PHAN_CONG!$F$62,"")</f>
        <v/>
      </c>
      <c r="G61" s="14" t="str">
        <f>IF(D61="","",SUMIF(TONG_HOP_LOP!$B$4:$B$15,D61,TONG_HOP_LOP!$E$4:$E$15))</f>
        <v/>
      </c>
      <c r="H61" s="32" t="str">
        <f>IF(D61="","",SUMIF(TONG_HOP_LOP!$B$4:$B$15,D61,TONG_HOP_LOP!$G$4:$G$15))</f>
        <v/>
      </c>
      <c r="I61" s="34" t="str">
        <f>IF(D61="","",IFERROR(VLOOKUP(D61,DANH_MUC_LOP!$B$4:$O$15,14,FALSE),DIEU_KHIEN!$B$6))</f>
        <v/>
      </c>
      <c r="J61" s="37"/>
      <c r="K61" s="34" t="str">
        <f t="shared" si="1"/>
        <v/>
      </c>
      <c r="L61" s="34" t="str">
        <f t="shared" si="2"/>
        <v/>
      </c>
      <c r="M61" s="32" t="str">
        <f t="shared" si="3"/>
        <v/>
      </c>
      <c r="N61" s="20"/>
      <c r="O61" s="20"/>
      <c r="P61" s="36" t="str">
        <f t="shared" si="4"/>
        <v/>
      </c>
    </row>
    <row r="62" ht="15.75" customHeight="1">
      <c r="A62" s="31" t="str">
        <f>IFERROR(PHAN_CONG!$A$63,"")</f>
        <v/>
      </c>
      <c r="B62" s="14" t="str">
        <f>IFERROR(PHAN_CONG!$B$63,"")</f>
        <v/>
      </c>
      <c r="C62" s="14" t="str">
        <f>IFERROR(PHAN_CONG!$C$63,"")</f>
        <v/>
      </c>
      <c r="D62" s="14" t="str">
        <f>IFERROR(PHAN_CONG!$D$63,"")</f>
        <v/>
      </c>
      <c r="E62" s="14" t="str">
        <f>IFERROR(PHAN_CONG!$E$63,"")</f>
        <v/>
      </c>
      <c r="F62" s="14" t="str">
        <f>IFERROR(PHAN_CONG!$F$63,"")</f>
        <v/>
      </c>
      <c r="G62" s="14" t="str">
        <f>IF(D62="","",SUMIF(TONG_HOP_LOP!$B$4:$B$15,D62,TONG_HOP_LOP!$E$4:$E$15))</f>
        <v/>
      </c>
      <c r="H62" s="32" t="str">
        <f>IF(D62="","",SUMIF(TONG_HOP_LOP!$B$4:$B$15,D62,TONG_HOP_LOP!$G$4:$G$15))</f>
        <v/>
      </c>
      <c r="I62" s="34" t="str">
        <f>IF(D62="","",IFERROR(VLOOKUP(D62,DANH_MUC_LOP!$B$4:$O$15,14,FALSE),DIEU_KHIEN!$B$6))</f>
        <v/>
      </c>
      <c r="J62" s="37"/>
      <c r="K62" s="34" t="str">
        <f t="shared" si="1"/>
        <v/>
      </c>
      <c r="L62" s="34" t="str">
        <f t="shared" si="2"/>
        <v/>
      </c>
      <c r="M62" s="32" t="str">
        <f t="shared" si="3"/>
        <v/>
      </c>
      <c r="N62" s="20"/>
      <c r="O62" s="20"/>
      <c r="P62" s="36" t="str">
        <f t="shared" si="4"/>
        <v/>
      </c>
    </row>
    <row r="63" ht="15.75" customHeight="1">
      <c r="A63" s="31" t="str">
        <f>IFERROR(PHAN_CONG!$A$64,"")</f>
        <v/>
      </c>
      <c r="B63" s="14" t="str">
        <f>IFERROR(PHAN_CONG!$B$64,"")</f>
        <v/>
      </c>
      <c r="C63" s="14" t="str">
        <f>IFERROR(PHAN_CONG!$C$64,"")</f>
        <v/>
      </c>
      <c r="D63" s="14" t="str">
        <f>IFERROR(PHAN_CONG!$D$64,"")</f>
        <v/>
      </c>
      <c r="E63" s="14" t="str">
        <f>IFERROR(PHAN_CONG!$E$64,"")</f>
        <v/>
      </c>
      <c r="F63" s="14" t="str">
        <f>IFERROR(PHAN_CONG!$F$64,"")</f>
        <v/>
      </c>
      <c r="G63" s="14" t="str">
        <f>IF(D63="","",SUMIF(TONG_HOP_LOP!$B$4:$B$15,D63,TONG_HOP_LOP!$E$4:$E$15))</f>
        <v/>
      </c>
      <c r="H63" s="32" t="str">
        <f>IF(D63="","",SUMIF(TONG_HOP_LOP!$B$4:$B$15,D63,TONG_HOP_LOP!$G$4:$G$15))</f>
        <v/>
      </c>
      <c r="I63" s="34" t="str">
        <f>IF(D63="","",IFERROR(VLOOKUP(D63,DANH_MUC_LOP!$B$4:$O$15,14,FALSE),DIEU_KHIEN!$B$6))</f>
        <v/>
      </c>
      <c r="J63" s="37"/>
      <c r="K63" s="34" t="str">
        <f t="shared" si="1"/>
        <v/>
      </c>
      <c r="L63" s="34" t="str">
        <f t="shared" si="2"/>
        <v/>
      </c>
      <c r="M63" s="32" t="str">
        <f t="shared" si="3"/>
        <v/>
      </c>
      <c r="N63" s="20"/>
      <c r="O63" s="20"/>
      <c r="P63" s="36" t="str">
        <f t="shared" si="4"/>
        <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P1"/>
  </mergeCells>
  <conditionalFormatting sqref="O4:O63">
    <cfRule type="expression" dxfId="1" priority="1">
      <formula>O4&gt;0</formula>
    </cfRule>
  </conditionalFormatting>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25.0"/>
    <col customWidth="1" min="3" max="4" width="9.0"/>
    <col customWidth="1" min="5" max="7" width="16.0"/>
    <col customWidth="1" min="8" max="10" width="13.0"/>
    <col customWidth="1" min="11" max="11" width="16.0"/>
    <col customWidth="1" min="12" max="12" width="13.0"/>
    <col customWidth="1" min="13" max="13" width="32.0"/>
    <col customWidth="1" min="14" max="15" width="16.0"/>
  </cols>
  <sheetData>
    <row r="1" ht="30.0" customHeight="1">
      <c r="A1" s="1" t="s">
        <v>94</v>
      </c>
      <c r="N1" s="2"/>
      <c r="O1" s="2"/>
    </row>
    <row r="2">
      <c r="A2" s="3"/>
      <c r="B2" s="3"/>
      <c r="C2" s="3"/>
      <c r="D2" s="3"/>
      <c r="E2" s="3"/>
      <c r="F2" s="3"/>
      <c r="G2" s="3"/>
      <c r="H2" s="3"/>
      <c r="I2" s="3"/>
      <c r="J2" s="3"/>
      <c r="K2" s="3"/>
      <c r="L2" s="3"/>
      <c r="M2" s="3"/>
      <c r="N2" s="3"/>
      <c r="O2" s="3"/>
    </row>
    <row r="3">
      <c r="A3" s="4" t="s">
        <v>95</v>
      </c>
      <c r="B3" s="4" t="s">
        <v>6</v>
      </c>
      <c r="C3" s="3"/>
      <c r="D3" s="4" t="s">
        <v>96</v>
      </c>
      <c r="E3" s="4" t="s">
        <v>6</v>
      </c>
      <c r="F3" s="3"/>
      <c r="G3" s="3"/>
      <c r="H3" s="3"/>
      <c r="I3" s="3"/>
      <c r="J3" s="3"/>
      <c r="K3" s="3"/>
      <c r="L3" s="3"/>
      <c r="M3" s="3"/>
      <c r="N3" s="3"/>
      <c r="O3" s="3"/>
    </row>
    <row r="4">
      <c r="A4" s="38" t="s">
        <v>10</v>
      </c>
      <c r="B4" s="39" t="str">
        <f>IF(DANH_MUC_LOP!B4="","",DANH_MUC_LOP!B4)</f>
        <v>L06</v>
      </c>
      <c r="C4" s="3"/>
      <c r="D4" s="40" t="s">
        <v>97</v>
      </c>
      <c r="E4" s="41">
        <f>SUM(J14:J42)</f>
        <v>0</v>
      </c>
      <c r="F4" s="3"/>
      <c r="G4" s="3"/>
      <c r="H4" s="3"/>
      <c r="I4" s="3"/>
      <c r="J4" s="3"/>
      <c r="K4" s="3"/>
      <c r="L4" s="3"/>
      <c r="M4" s="3"/>
      <c r="N4" s="3"/>
      <c r="O4" s="3"/>
    </row>
    <row r="5">
      <c r="A5" s="38" t="s">
        <v>19</v>
      </c>
      <c r="B5" s="39" t="str">
        <f>IF(DANH_MUC_LOP!C4="","",DANH_MUC_LOP!C4)</f>
        <v>Lớp 6 Thầy Cường</v>
      </c>
      <c r="C5" s="3"/>
      <c r="D5" s="40" t="s">
        <v>65</v>
      </c>
      <c r="E5" s="41">
        <f>SUM(K14:K42)</f>
        <v>0</v>
      </c>
      <c r="F5" s="3"/>
      <c r="G5" s="3"/>
      <c r="H5" s="3"/>
      <c r="I5" s="3"/>
      <c r="J5" s="3"/>
      <c r="K5" s="3"/>
      <c r="L5" s="3"/>
      <c r="M5" s="3"/>
      <c r="N5" s="3"/>
      <c r="O5" s="3"/>
    </row>
    <row r="6">
      <c r="A6" s="38" t="s">
        <v>98</v>
      </c>
      <c r="B6" s="39">
        <f>IFERROR(IF(DANH_MUC_LOP!R4&gt;0,DANH_MUC_LOP!R4,LOP_01!$B$16),0)</f>
        <v>9</v>
      </c>
      <c r="C6" s="3"/>
      <c r="D6" s="40" t="s">
        <v>99</v>
      </c>
      <c r="E6" s="41">
        <f>IF(B4="",0,SUMIF(THUONG_HOC_SINH!$A$4:$A$83,B4,THUONG_HOC_SINH!$D$4:$D$83))</f>
        <v>0</v>
      </c>
      <c r="F6" s="3"/>
      <c r="G6" s="3"/>
      <c r="H6" s="3"/>
      <c r="I6" s="3"/>
      <c r="J6" s="3"/>
      <c r="K6" s="3"/>
      <c r="L6" s="3"/>
      <c r="M6" s="3"/>
      <c r="N6" s="3"/>
      <c r="O6" s="3"/>
    </row>
    <row r="7">
      <c r="A7" s="38" t="s">
        <v>23</v>
      </c>
      <c r="B7" s="41">
        <f>IF(DANH_MUC_LOP!B4="","",DANH_MUC_LOP!F4)</f>
        <v>50000</v>
      </c>
      <c r="C7" s="3"/>
      <c r="D7" s="42"/>
      <c r="E7" s="43"/>
      <c r="F7" s="3"/>
      <c r="G7" s="3"/>
      <c r="H7" s="3"/>
      <c r="I7" s="3"/>
      <c r="J7" s="3"/>
      <c r="K7" s="3"/>
      <c r="L7" s="3"/>
      <c r="M7" s="3"/>
      <c r="N7" s="3"/>
      <c r="O7" s="3"/>
    </row>
    <row r="8">
      <c r="A8" s="38" t="s">
        <v>31</v>
      </c>
      <c r="B8" s="39" t="str">
        <f>IF(DANH_MUC_LOP!B4="","",DANH_MUC_LOP!N4)</f>
        <v>Theo buổi</v>
      </c>
      <c r="C8" s="3"/>
      <c r="D8" s="42"/>
      <c r="E8" s="43"/>
      <c r="F8" s="3"/>
      <c r="G8" s="3"/>
      <c r="H8" s="3"/>
      <c r="I8" s="3"/>
      <c r="J8" s="3"/>
      <c r="K8" s="3"/>
      <c r="L8" s="3"/>
      <c r="M8" s="3"/>
      <c r="N8" s="3"/>
      <c r="O8" s="3"/>
    </row>
    <row r="9">
      <c r="A9" s="38" t="s">
        <v>100</v>
      </c>
      <c r="B9" s="39">
        <f>COUNTIF(A14:A42,"?*")</f>
        <v>18</v>
      </c>
      <c r="C9" s="3"/>
      <c r="D9" s="42"/>
      <c r="E9" s="43"/>
      <c r="F9" s="3"/>
      <c r="G9" s="3"/>
      <c r="H9" s="3"/>
      <c r="I9" s="3"/>
      <c r="J9" s="3"/>
      <c r="K9" s="3"/>
      <c r="L9" s="3"/>
      <c r="M9" s="3"/>
      <c r="N9" s="3"/>
      <c r="O9" s="3"/>
    </row>
    <row r="10">
      <c r="A10" s="38" t="s">
        <v>101</v>
      </c>
      <c r="B10" s="41">
        <f>SUM(H14:H42)</f>
        <v>5025000</v>
      </c>
      <c r="C10" s="3"/>
      <c r="D10" s="42"/>
      <c r="E10" s="43"/>
      <c r="F10" s="3"/>
      <c r="G10" s="3"/>
      <c r="H10" s="3"/>
      <c r="I10" s="3"/>
      <c r="J10" s="3"/>
      <c r="K10" s="3"/>
      <c r="L10" s="3"/>
      <c r="M10" s="3"/>
      <c r="N10" s="3"/>
      <c r="O10" s="3"/>
    </row>
    <row r="11">
      <c r="A11" s="38" t="s">
        <v>102</v>
      </c>
      <c r="B11" s="41">
        <f>SUM(I14:I42)</f>
        <v>5025000</v>
      </c>
      <c r="C11" s="3"/>
      <c r="D11" s="42"/>
      <c r="E11" s="43"/>
      <c r="F11" s="3"/>
      <c r="G11" s="3"/>
      <c r="H11" s="3"/>
      <c r="I11" s="3"/>
      <c r="J11" s="3"/>
      <c r="K11" s="3"/>
      <c r="L11" s="3"/>
      <c r="M11" s="3"/>
      <c r="N11" s="3"/>
      <c r="O11" s="3"/>
    </row>
    <row r="12">
      <c r="A12" s="3"/>
      <c r="B12" s="3"/>
      <c r="C12" s="3"/>
      <c r="D12" s="3"/>
      <c r="E12" s="3"/>
      <c r="F12" s="3"/>
      <c r="G12" s="3"/>
      <c r="H12" s="3"/>
      <c r="I12" s="3"/>
      <c r="J12" s="3"/>
      <c r="K12" s="3"/>
      <c r="L12" s="3"/>
      <c r="M12" s="44" t="s">
        <v>103</v>
      </c>
      <c r="N12" s="3"/>
      <c r="O12" s="3"/>
    </row>
    <row r="13" ht="27.75" customHeight="1">
      <c r="A13" s="5" t="s">
        <v>14</v>
      </c>
      <c r="B13" s="5" t="s">
        <v>16</v>
      </c>
      <c r="C13" s="5" t="s">
        <v>104</v>
      </c>
      <c r="D13" s="5" t="s">
        <v>105</v>
      </c>
      <c r="E13" s="5" t="s">
        <v>106</v>
      </c>
      <c r="F13" s="5" t="s">
        <v>107</v>
      </c>
      <c r="G13" s="5" t="s">
        <v>64</v>
      </c>
      <c r="H13" s="5" t="s">
        <v>108</v>
      </c>
      <c r="I13" s="5" t="s">
        <v>102</v>
      </c>
      <c r="J13" s="5" t="s">
        <v>97</v>
      </c>
      <c r="K13" s="5" t="s">
        <v>65</v>
      </c>
      <c r="L13" s="5" t="s">
        <v>109</v>
      </c>
      <c r="M13" s="5" t="s">
        <v>15</v>
      </c>
      <c r="N13" s="5" t="s">
        <v>110</v>
      </c>
      <c r="O13" s="5" t="s">
        <v>111</v>
      </c>
    </row>
    <row r="14">
      <c r="A14" s="45" t="str">
        <f>IFERROR(LOP_01!$A$21,"")</f>
        <v>HS06-001</v>
      </c>
      <c r="B14" s="45" t="str">
        <f>IFERROR(LOP_01!$B$21,"")</f>
        <v>Đào Thị Kim Ngân</v>
      </c>
      <c r="C14" s="46">
        <f>IFERROR(LOP_01!$AH$21,"")</f>
        <v>5</v>
      </c>
      <c r="D14" s="46">
        <f>IFERROR(LOP_01!$AI$21,"")</f>
        <v>2</v>
      </c>
      <c r="E14" s="41">
        <f t="shared" ref="E14:E16" si="1">IF(A14="","",$B$7)</f>
        <v>50000</v>
      </c>
      <c r="F14" s="41">
        <f t="shared" ref="F14:F42" si="2">IF(A14="","",IF($B$8="Thu trước",$B$6*E14,C14*E14))</f>
        <v>250000</v>
      </c>
      <c r="G14" s="41">
        <f>IF(A14="","",SUMIFS(CHUYEN_THANG!$D$4:$D$403,CHUYEN_THANG!$A$4:$A$403,$B$4,CHUYEN_THANG!$B$4:$B$403,A14))</f>
        <v>0</v>
      </c>
      <c r="H14" s="41">
        <f t="shared" ref="H14:H42" si="3">IF(A14="","",IF(O14&lt;&gt;"",MAX(0,O14),MAX(0,F14-G14+N14)))</f>
        <v>250000</v>
      </c>
      <c r="I14" s="47">
        <f t="shared" ref="I14:I31" si="4">H14</f>
        <v>250000</v>
      </c>
      <c r="J14" s="41">
        <f t="shared" ref="J14:J42" si="5">IF(A14="","",MAX(0,H14-I14))</f>
        <v>0</v>
      </c>
      <c r="K14" s="41">
        <f t="shared" ref="K14:K42" si="6">IF(A14="","",IF($B$8="Thu trước",D14*E14,0))</f>
        <v>0</v>
      </c>
      <c r="L14" s="48"/>
      <c r="M14" s="9"/>
      <c r="N14" s="49"/>
      <c r="O14" s="49"/>
    </row>
    <row r="15">
      <c r="A15" s="45" t="str">
        <f>IFERROR(LOP_01!$A$22,"")</f>
        <v>HS06-002</v>
      </c>
      <c r="B15" s="45" t="str">
        <f>IFERROR(LOP_01!$B$22,"")</f>
        <v>Đặng Phương Anh</v>
      </c>
      <c r="C15" s="46">
        <f>IFERROR(LOP_01!$AH$22,"")</f>
        <v>6</v>
      </c>
      <c r="D15" s="46">
        <f>IFERROR(LOP_01!$AI$22,"")</f>
        <v>1</v>
      </c>
      <c r="E15" s="41">
        <f t="shared" si="1"/>
        <v>50000</v>
      </c>
      <c r="F15" s="41">
        <f t="shared" si="2"/>
        <v>300000</v>
      </c>
      <c r="G15" s="41">
        <f>IF(A15="","",SUMIFS(CHUYEN_THANG!$D$4:$D$403,CHUYEN_THANG!$A$4:$A$403,$B$4,CHUYEN_THANG!$B$4:$B$403,A15))</f>
        <v>0</v>
      </c>
      <c r="H15" s="41">
        <f t="shared" si="3"/>
        <v>300000</v>
      </c>
      <c r="I15" s="47">
        <f t="shared" si="4"/>
        <v>300000</v>
      </c>
      <c r="J15" s="41">
        <f t="shared" si="5"/>
        <v>0</v>
      </c>
      <c r="K15" s="41">
        <f t="shared" si="6"/>
        <v>0</v>
      </c>
      <c r="L15" s="48"/>
      <c r="M15" s="9"/>
      <c r="N15" s="49"/>
      <c r="O15" s="49"/>
    </row>
    <row r="16">
      <c r="A16" s="45" t="str">
        <f>IFERROR(LOP_01!$A$23,"")</f>
        <v>HS06-003</v>
      </c>
      <c r="B16" s="45" t="str">
        <f>IFERROR(LOP_01!$B$23,"")</f>
        <v>Nguyễn Gia Bảo</v>
      </c>
      <c r="C16" s="46">
        <f>IFERROR(LOP_01!$AH$23,"")</f>
        <v>6</v>
      </c>
      <c r="D16" s="46">
        <f>IFERROR(LOP_01!$AI$23,"")</f>
        <v>1</v>
      </c>
      <c r="E16" s="41">
        <f t="shared" si="1"/>
        <v>50000</v>
      </c>
      <c r="F16" s="41">
        <f t="shared" si="2"/>
        <v>300000</v>
      </c>
      <c r="G16" s="41">
        <f>IF(A16="","",SUMIFS(CHUYEN_THANG!$D$4:$D$403,CHUYEN_THANG!$A$4:$A$403,$B$4,CHUYEN_THANG!$B$4:$B$403,A16))</f>
        <v>0</v>
      </c>
      <c r="H16" s="41">
        <f t="shared" si="3"/>
        <v>300000</v>
      </c>
      <c r="I16" s="47">
        <f t="shared" si="4"/>
        <v>300000</v>
      </c>
      <c r="J16" s="41">
        <f t="shared" si="5"/>
        <v>0</v>
      </c>
      <c r="K16" s="41">
        <f t="shared" si="6"/>
        <v>0</v>
      </c>
      <c r="L16" s="48"/>
      <c r="M16" s="9"/>
      <c r="N16" s="49"/>
      <c r="O16" s="49"/>
    </row>
    <row r="17">
      <c r="A17" s="45" t="str">
        <f>IFERROR(LOP_01!$A$24,"")</f>
        <v>HS06-004</v>
      </c>
      <c r="B17" s="45" t="str">
        <f>IFERROR(LOP_01!$B$24,"")</f>
        <v>Nguyễn Đặng Gia Bảo</v>
      </c>
      <c r="C17" s="46">
        <f>IFERROR(LOP_01!$AH$24,"")</f>
        <v>7</v>
      </c>
      <c r="D17" s="46">
        <f>IFERROR(LOP_01!$AI$24,"")</f>
        <v>0</v>
      </c>
      <c r="E17" s="41">
        <f>IF(A17="","",$B$7)/2</f>
        <v>25000</v>
      </c>
      <c r="F17" s="41">
        <f t="shared" si="2"/>
        <v>175000</v>
      </c>
      <c r="G17" s="41">
        <f>IF(A17="","",SUMIFS(CHUYEN_THANG!$D$4:$D$403,CHUYEN_THANG!$A$4:$A$403,$B$4,CHUYEN_THANG!$B$4:$B$403,A17))</f>
        <v>0</v>
      </c>
      <c r="H17" s="41">
        <f t="shared" si="3"/>
        <v>175000</v>
      </c>
      <c r="I17" s="47">
        <f t="shared" si="4"/>
        <v>175000</v>
      </c>
      <c r="J17" s="41">
        <f t="shared" si="5"/>
        <v>0</v>
      </c>
      <c r="K17" s="41">
        <f t="shared" si="6"/>
        <v>0</v>
      </c>
      <c r="L17" s="48"/>
      <c r="M17" s="9"/>
      <c r="N17" s="49"/>
      <c r="O17" s="49"/>
    </row>
    <row r="18">
      <c r="A18" s="45" t="str">
        <f>IFERROR(LOP_01!$A$25,"")</f>
        <v>HS06-005</v>
      </c>
      <c r="B18" s="45" t="str">
        <f>IFERROR(LOP_01!$B$25,"")</f>
        <v>Tuệ Lâm</v>
      </c>
      <c r="C18" s="46">
        <f>IFERROR(LOP_01!$AH$25,"")</f>
        <v>5</v>
      </c>
      <c r="D18" s="46">
        <f>IFERROR(LOP_01!$AI$25,"")</f>
        <v>2</v>
      </c>
      <c r="E18" s="41">
        <f t="shared" ref="E18:E42" si="7">IF(A18="","",$B$7)</f>
        <v>50000</v>
      </c>
      <c r="F18" s="41">
        <f t="shared" si="2"/>
        <v>250000</v>
      </c>
      <c r="G18" s="41">
        <f>IF(A18="","",SUMIFS(CHUYEN_THANG!$D$4:$D$403,CHUYEN_THANG!$A$4:$A$403,$B$4,CHUYEN_THANG!$B$4:$B$403,A18))</f>
        <v>0</v>
      </c>
      <c r="H18" s="41">
        <f t="shared" si="3"/>
        <v>250000</v>
      </c>
      <c r="I18" s="47">
        <f t="shared" si="4"/>
        <v>250000</v>
      </c>
      <c r="J18" s="41">
        <f t="shared" si="5"/>
        <v>0</v>
      </c>
      <c r="K18" s="41">
        <f t="shared" si="6"/>
        <v>0</v>
      </c>
      <c r="L18" s="48"/>
      <c r="M18" s="9"/>
      <c r="N18" s="49"/>
      <c r="O18" s="49"/>
    </row>
    <row r="19">
      <c r="A19" s="45" t="str">
        <f>IFERROR(LOP_01!$A$26,"")</f>
        <v>HS06-006</v>
      </c>
      <c r="B19" s="45" t="str">
        <f>IFERROR(LOP_01!$B$26,"")</f>
        <v>Đặng Khánh Linh</v>
      </c>
      <c r="C19" s="46">
        <f>IFERROR(LOP_01!$AH$26,"")</f>
        <v>6</v>
      </c>
      <c r="D19" s="46">
        <f>IFERROR(LOP_01!$AI$26,"")</f>
        <v>1</v>
      </c>
      <c r="E19" s="41">
        <f t="shared" si="7"/>
        <v>50000</v>
      </c>
      <c r="F19" s="41">
        <f t="shared" si="2"/>
        <v>300000</v>
      </c>
      <c r="G19" s="41">
        <f>IF(A19="","",SUMIFS(CHUYEN_THANG!$D$4:$D$403,CHUYEN_THANG!$A$4:$A$403,$B$4,CHUYEN_THANG!$B$4:$B$403,A19))</f>
        <v>0</v>
      </c>
      <c r="H19" s="41">
        <f t="shared" si="3"/>
        <v>300000</v>
      </c>
      <c r="I19" s="47">
        <f t="shared" si="4"/>
        <v>300000</v>
      </c>
      <c r="J19" s="41">
        <f t="shared" si="5"/>
        <v>0</v>
      </c>
      <c r="K19" s="41">
        <f t="shared" si="6"/>
        <v>0</v>
      </c>
      <c r="L19" s="48"/>
      <c r="M19" s="9"/>
      <c r="N19" s="49"/>
      <c r="O19" s="49"/>
    </row>
    <row r="20" ht="15.75" customHeight="1">
      <c r="A20" s="45" t="str">
        <f>IFERROR(LOP_01!$A$27,"")</f>
        <v>HS06-007</v>
      </c>
      <c r="B20" s="45" t="str">
        <f>IFERROR(LOP_01!$B$27,"")</f>
        <v>Nguyễn Ngọc Diệp</v>
      </c>
      <c r="C20" s="46">
        <f>IFERROR(LOP_01!$AH$27,"")</f>
        <v>7</v>
      </c>
      <c r="D20" s="46">
        <f>IFERROR(LOP_01!$AI$27,"")</f>
        <v>0</v>
      </c>
      <c r="E20" s="41">
        <f t="shared" si="7"/>
        <v>50000</v>
      </c>
      <c r="F20" s="41">
        <f t="shared" si="2"/>
        <v>350000</v>
      </c>
      <c r="G20" s="41">
        <f>IF(A20="","",SUMIFS(CHUYEN_THANG!$D$4:$D$403,CHUYEN_THANG!$A$4:$A$403,$B$4,CHUYEN_THANG!$B$4:$B$403,A20))</f>
        <v>0</v>
      </c>
      <c r="H20" s="41">
        <f t="shared" si="3"/>
        <v>350000</v>
      </c>
      <c r="I20" s="47">
        <f t="shared" si="4"/>
        <v>350000</v>
      </c>
      <c r="J20" s="41">
        <f t="shared" si="5"/>
        <v>0</v>
      </c>
      <c r="K20" s="41">
        <f t="shared" si="6"/>
        <v>0</v>
      </c>
      <c r="L20" s="48"/>
      <c r="M20" s="9"/>
      <c r="N20" s="49"/>
      <c r="O20" s="49"/>
    </row>
    <row r="21" ht="15.75" customHeight="1">
      <c r="A21" s="45" t="str">
        <f>IFERROR(LOP_01!$A$28,"")</f>
        <v>HS06-008</v>
      </c>
      <c r="B21" s="45" t="str">
        <f>IFERROR(LOP_01!$B$28,"")</f>
        <v>Nguyễn Ngọc Cẩm Tú</v>
      </c>
      <c r="C21" s="46">
        <f>IFERROR(LOP_01!$AH$28,"")</f>
        <v>5</v>
      </c>
      <c r="D21" s="46">
        <f>IFERROR(LOP_01!$AI$28,"")</f>
        <v>2</v>
      </c>
      <c r="E21" s="41">
        <f t="shared" si="7"/>
        <v>50000</v>
      </c>
      <c r="F21" s="41">
        <f t="shared" si="2"/>
        <v>250000</v>
      </c>
      <c r="G21" s="41">
        <f>IF(A21="","",SUMIFS(CHUYEN_THANG!$D$4:$D$403,CHUYEN_THANG!$A$4:$A$403,$B$4,CHUYEN_THANG!$B$4:$B$403,A21))</f>
        <v>0</v>
      </c>
      <c r="H21" s="41">
        <f t="shared" si="3"/>
        <v>250000</v>
      </c>
      <c r="I21" s="47">
        <f t="shared" si="4"/>
        <v>250000</v>
      </c>
      <c r="J21" s="41">
        <f t="shared" si="5"/>
        <v>0</v>
      </c>
      <c r="K21" s="41">
        <f t="shared" si="6"/>
        <v>0</v>
      </c>
      <c r="L21" s="48"/>
      <c r="M21" s="9"/>
      <c r="N21" s="49"/>
      <c r="O21" s="49"/>
    </row>
    <row r="22" ht="15.75" customHeight="1">
      <c r="A22" s="45" t="str">
        <f>IFERROR(LOP_01!$A$29,"")</f>
        <v>HS06-009</v>
      </c>
      <c r="B22" s="45" t="str">
        <f>IFERROR(LOP_01!$B$29,"")</f>
        <v>Đào Thế Hoàng</v>
      </c>
      <c r="C22" s="46">
        <f>IFERROR(LOP_01!$AH$29,"")</f>
        <v>6</v>
      </c>
      <c r="D22" s="46">
        <f>IFERROR(LOP_01!$AI$29,"")</f>
        <v>1</v>
      </c>
      <c r="E22" s="41">
        <f t="shared" si="7"/>
        <v>50000</v>
      </c>
      <c r="F22" s="41">
        <f t="shared" si="2"/>
        <v>300000</v>
      </c>
      <c r="G22" s="41">
        <f>IF(A22="","",SUMIFS(CHUYEN_THANG!$D$4:$D$403,CHUYEN_THANG!$A$4:$A$403,$B$4,CHUYEN_THANG!$B$4:$B$403,A22))</f>
        <v>0</v>
      </c>
      <c r="H22" s="41">
        <f t="shared" si="3"/>
        <v>300000</v>
      </c>
      <c r="I22" s="47">
        <f t="shared" si="4"/>
        <v>300000</v>
      </c>
      <c r="J22" s="41">
        <f t="shared" si="5"/>
        <v>0</v>
      </c>
      <c r="K22" s="41">
        <f t="shared" si="6"/>
        <v>0</v>
      </c>
      <c r="L22" s="48"/>
      <c r="M22" s="9"/>
      <c r="N22" s="49"/>
      <c r="O22" s="49"/>
    </row>
    <row r="23" ht="15.75" customHeight="1">
      <c r="A23" s="45" t="str">
        <f>IFERROR(LOP_01!$A$30,"")</f>
        <v>HS06-010</v>
      </c>
      <c r="B23" s="45" t="str">
        <f>IFERROR(LOP_01!$B$30,"")</f>
        <v>Đào Nguyễn Bình An</v>
      </c>
      <c r="C23" s="46">
        <f>IFERROR(LOP_01!$AH$30,"")</f>
        <v>7</v>
      </c>
      <c r="D23" s="46">
        <f>IFERROR(LOP_01!$AI$30,"")</f>
        <v>0</v>
      </c>
      <c r="E23" s="41">
        <f t="shared" si="7"/>
        <v>50000</v>
      </c>
      <c r="F23" s="41">
        <f t="shared" si="2"/>
        <v>350000</v>
      </c>
      <c r="G23" s="41">
        <f>IF(A23="","",SUMIFS(CHUYEN_THANG!$D$4:$D$403,CHUYEN_THANG!$A$4:$A$403,$B$4,CHUYEN_THANG!$B$4:$B$403,A23))</f>
        <v>0</v>
      </c>
      <c r="H23" s="41">
        <f t="shared" si="3"/>
        <v>350000</v>
      </c>
      <c r="I23" s="47">
        <f t="shared" si="4"/>
        <v>350000</v>
      </c>
      <c r="J23" s="41">
        <f t="shared" si="5"/>
        <v>0</v>
      </c>
      <c r="K23" s="41">
        <f t="shared" si="6"/>
        <v>0</v>
      </c>
      <c r="L23" s="48"/>
      <c r="M23" s="9"/>
      <c r="N23" s="49"/>
      <c r="O23" s="49"/>
    </row>
    <row r="24" ht="15.75" customHeight="1">
      <c r="A24" s="45" t="str">
        <f>IFERROR(LOP_01!$A$31,"")</f>
        <v>HS06-011</v>
      </c>
      <c r="B24" s="45" t="str">
        <f>IFERROR(LOP_01!$B$31,"")</f>
        <v>Nguyễn Trà My</v>
      </c>
      <c r="C24" s="46">
        <f>IFERROR(LOP_01!$AH$31,"")</f>
        <v>6</v>
      </c>
      <c r="D24" s="46">
        <f>IFERROR(LOP_01!$AI$31,"")</f>
        <v>1</v>
      </c>
      <c r="E24" s="41">
        <f t="shared" si="7"/>
        <v>50000</v>
      </c>
      <c r="F24" s="41">
        <f t="shared" si="2"/>
        <v>300000</v>
      </c>
      <c r="G24" s="41">
        <f>IF(A24="","",SUMIFS(CHUYEN_THANG!$D$4:$D$403,CHUYEN_THANG!$A$4:$A$403,$B$4,CHUYEN_THANG!$B$4:$B$403,A24))</f>
        <v>0</v>
      </c>
      <c r="H24" s="41">
        <f t="shared" si="3"/>
        <v>300000</v>
      </c>
      <c r="I24" s="47">
        <f t="shared" si="4"/>
        <v>300000</v>
      </c>
      <c r="J24" s="41">
        <f t="shared" si="5"/>
        <v>0</v>
      </c>
      <c r="K24" s="41">
        <f t="shared" si="6"/>
        <v>0</v>
      </c>
      <c r="L24" s="48"/>
      <c r="M24" s="9"/>
      <c r="N24" s="49"/>
      <c r="O24" s="49"/>
    </row>
    <row r="25" ht="15.75" customHeight="1">
      <c r="A25" s="45" t="str">
        <f>IFERROR(LOP_01!$A$32,"")</f>
        <v>HS06-012</v>
      </c>
      <c r="B25" s="45" t="str">
        <f>IFERROR(LOP_01!$B$32,"")</f>
        <v>Bảo Dũng</v>
      </c>
      <c r="C25" s="46">
        <f>IFERROR(LOP_01!$AH$32,"")</f>
        <v>6</v>
      </c>
      <c r="D25" s="46">
        <f>IFERROR(LOP_01!$AI$32,"")</f>
        <v>1</v>
      </c>
      <c r="E25" s="41">
        <f t="shared" si="7"/>
        <v>50000</v>
      </c>
      <c r="F25" s="41">
        <f t="shared" si="2"/>
        <v>300000</v>
      </c>
      <c r="G25" s="41">
        <f>IF(A25="","",SUMIFS(CHUYEN_THANG!$D$4:$D$403,CHUYEN_THANG!$A$4:$A$403,$B$4,CHUYEN_THANG!$B$4:$B$403,A25))</f>
        <v>0</v>
      </c>
      <c r="H25" s="41">
        <f t="shared" si="3"/>
        <v>300000</v>
      </c>
      <c r="I25" s="47">
        <f t="shared" si="4"/>
        <v>300000</v>
      </c>
      <c r="J25" s="41">
        <f t="shared" si="5"/>
        <v>0</v>
      </c>
      <c r="K25" s="41">
        <f t="shared" si="6"/>
        <v>0</v>
      </c>
      <c r="L25" s="48"/>
      <c r="M25" s="9"/>
      <c r="N25" s="49"/>
      <c r="O25" s="49"/>
    </row>
    <row r="26" ht="15.75" customHeight="1">
      <c r="A26" s="45" t="str">
        <f>IFERROR(LOP_01!$A$33,"")</f>
        <v>HS06-013</v>
      </c>
      <c r="B26" s="45" t="str">
        <f>IFERROR(LOP_01!$B$33,"")</f>
        <v>Đào Quang Minh</v>
      </c>
      <c r="C26" s="46">
        <f>IFERROR(LOP_01!$AH$33,"")</f>
        <v>5</v>
      </c>
      <c r="D26" s="46">
        <f>IFERROR(LOP_01!$AI$33,"")</f>
        <v>2</v>
      </c>
      <c r="E26" s="41">
        <f t="shared" si="7"/>
        <v>50000</v>
      </c>
      <c r="F26" s="41">
        <f t="shared" si="2"/>
        <v>250000</v>
      </c>
      <c r="G26" s="41">
        <f>IF(A26="","",SUMIFS(CHUYEN_THANG!$D$4:$D$403,CHUYEN_THANG!$A$4:$A$403,$B$4,CHUYEN_THANG!$B$4:$B$403,A26))</f>
        <v>0</v>
      </c>
      <c r="H26" s="41">
        <f t="shared" si="3"/>
        <v>250000</v>
      </c>
      <c r="I26" s="47">
        <f t="shared" si="4"/>
        <v>250000</v>
      </c>
      <c r="J26" s="41">
        <f t="shared" si="5"/>
        <v>0</v>
      </c>
      <c r="K26" s="41">
        <f t="shared" si="6"/>
        <v>0</v>
      </c>
      <c r="L26" s="48"/>
      <c r="M26" s="9"/>
      <c r="N26" s="49"/>
      <c r="O26" s="49"/>
    </row>
    <row r="27" ht="15.75" customHeight="1">
      <c r="A27" s="45" t="str">
        <f>IFERROR(LOP_01!$A$34,"")</f>
        <v>HS06-014</v>
      </c>
      <c r="B27" s="45" t="str">
        <f>IFERROR(LOP_01!$B$34,"")</f>
        <v>Duy</v>
      </c>
      <c r="C27" s="46">
        <f>IFERROR(LOP_01!$AH$34,"")</f>
        <v>5</v>
      </c>
      <c r="D27" s="46">
        <f>IFERROR(LOP_01!$AI$34,"")</f>
        <v>2</v>
      </c>
      <c r="E27" s="41">
        <f t="shared" si="7"/>
        <v>50000</v>
      </c>
      <c r="F27" s="41">
        <f t="shared" si="2"/>
        <v>250000</v>
      </c>
      <c r="G27" s="41">
        <f>IF(A27="","",SUMIFS(CHUYEN_THANG!$D$4:$D$403,CHUYEN_THANG!$A$4:$A$403,$B$4,CHUYEN_THANG!$B$4:$B$403,A27))</f>
        <v>0</v>
      </c>
      <c r="H27" s="41">
        <f t="shared" si="3"/>
        <v>250000</v>
      </c>
      <c r="I27" s="47">
        <f t="shared" si="4"/>
        <v>250000</v>
      </c>
      <c r="J27" s="41">
        <f t="shared" si="5"/>
        <v>0</v>
      </c>
      <c r="K27" s="41">
        <f t="shared" si="6"/>
        <v>0</v>
      </c>
      <c r="L27" s="48"/>
      <c r="M27" s="9"/>
      <c r="N27" s="49"/>
      <c r="O27" s="49"/>
    </row>
    <row r="28" ht="15.75" customHeight="1">
      <c r="A28" s="45" t="str">
        <f>IFERROR(LOP_01!$A$35,"")</f>
        <v>HS06-015</v>
      </c>
      <c r="B28" s="45" t="str">
        <f>IFERROR(LOP_01!$B$35,"")</f>
        <v>Phúc</v>
      </c>
      <c r="C28" s="46">
        <f>IFERROR(LOP_01!$AH$35,"")</f>
        <v>7</v>
      </c>
      <c r="D28" s="46">
        <f>IFERROR(LOP_01!$AI$35,"")</f>
        <v>0</v>
      </c>
      <c r="E28" s="41">
        <f t="shared" si="7"/>
        <v>50000</v>
      </c>
      <c r="F28" s="41">
        <f t="shared" si="2"/>
        <v>350000</v>
      </c>
      <c r="G28" s="41">
        <f>IF(A28="","",SUMIFS(CHUYEN_THANG!$D$4:$D$403,CHUYEN_THANG!$A$4:$A$403,$B$4,CHUYEN_THANG!$B$4:$B$403,A28))</f>
        <v>0</v>
      </c>
      <c r="H28" s="41">
        <f t="shared" si="3"/>
        <v>350000</v>
      </c>
      <c r="I28" s="47">
        <f t="shared" si="4"/>
        <v>350000</v>
      </c>
      <c r="J28" s="41">
        <f t="shared" si="5"/>
        <v>0</v>
      </c>
      <c r="K28" s="41">
        <f t="shared" si="6"/>
        <v>0</v>
      </c>
      <c r="L28" s="48"/>
      <c r="M28" s="9"/>
      <c r="N28" s="49"/>
      <c r="O28" s="49"/>
    </row>
    <row r="29" ht="15.75" customHeight="1">
      <c r="A29" s="45" t="str">
        <f>IFERROR(LOP_01!$A$36,"")</f>
        <v>HS06-016</v>
      </c>
      <c r="B29" s="45" t="str">
        <f>IFERROR(LOP_01!$B$36,"")</f>
        <v>Linh</v>
      </c>
      <c r="C29" s="46">
        <f>IFERROR(LOP_01!$AH$36,"")</f>
        <v>4</v>
      </c>
      <c r="D29" s="46">
        <f>IFERROR(LOP_01!$AI$36,"")</f>
        <v>3</v>
      </c>
      <c r="E29" s="41">
        <f t="shared" si="7"/>
        <v>50000</v>
      </c>
      <c r="F29" s="41">
        <f t="shared" si="2"/>
        <v>200000</v>
      </c>
      <c r="G29" s="41">
        <f>IF(A29="","",SUMIFS(CHUYEN_THANG!$D$4:$D$403,CHUYEN_THANG!$A$4:$A$403,$B$4,CHUYEN_THANG!$B$4:$B$403,A29))</f>
        <v>0</v>
      </c>
      <c r="H29" s="41">
        <f t="shared" si="3"/>
        <v>200000</v>
      </c>
      <c r="I29" s="47">
        <f t="shared" si="4"/>
        <v>200000</v>
      </c>
      <c r="J29" s="41">
        <f t="shared" si="5"/>
        <v>0</v>
      </c>
      <c r="K29" s="41">
        <f t="shared" si="6"/>
        <v>0</v>
      </c>
      <c r="L29" s="48"/>
      <c r="M29" s="9"/>
      <c r="N29" s="49"/>
      <c r="O29" s="49"/>
    </row>
    <row r="30" ht="15.75" customHeight="1">
      <c r="A30" s="45" t="str">
        <f>IFERROR(LOP_01!$A$37,"")</f>
        <v>HS06-017</v>
      </c>
      <c r="B30" s="45" t="str">
        <f>IFERROR(LOP_01!$B$37,"")</f>
        <v>Hân</v>
      </c>
      <c r="C30" s="46">
        <f>IFERROR(LOP_01!$AH$37,"")</f>
        <v>6</v>
      </c>
      <c r="D30" s="46">
        <f>IFERROR(LOP_01!$AI$37,"")</f>
        <v>0</v>
      </c>
      <c r="E30" s="41">
        <f t="shared" si="7"/>
        <v>50000</v>
      </c>
      <c r="F30" s="41">
        <f t="shared" si="2"/>
        <v>300000</v>
      </c>
      <c r="G30" s="41">
        <f>IF(A30="","",SUMIFS(CHUYEN_THANG!$D$4:$D$403,CHUYEN_THANG!$A$4:$A$403,$B$4,CHUYEN_THANG!$B$4:$B$403,A30))</f>
        <v>0</v>
      </c>
      <c r="H30" s="41">
        <f t="shared" si="3"/>
        <v>300000</v>
      </c>
      <c r="I30" s="47">
        <f t="shared" si="4"/>
        <v>300000</v>
      </c>
      <c r="J30" s="41">
        <f t="shared" si="5"/>
        <v>0</v>
      </c>
      <c r="K30" s="41">
        <f t="shared" si="6"/>
        <v>0</v>
      </c>
      <c r="L30" s="48"/>
      <c r="M30" s="9"/>
      <c r="N30" s="49"/>
      <c r="O30" s="49"/>
    </row>
    <row r="31" ht="15.75" customHeight="1">
      <c r="A31" s="45" t="str">
        <f>IFERROR(LOP_01!$A$38,"")</f>
        <v>HS06-018</v>
      </c>
      <c r="B31" s="45" t="str">
        <f>IFERROR(LOP_01!$B$38,"")</f>
        <v>Kiều Anh</v>
      </c>
      <c r="C31" s="46">
        <f>IFERROR(LOP_01!$AH$38,"")</f>
        <v>5</v>
      </c>
      <c r="D31" s="46">
        <f>IFERROR(LOP_01!$AI$38,"")</f>
        <v>1</v>
      </c>
      <c r="E31" s="41">
        <f t="shared" si="7"/>
        <v>50000</v>
      </c>
      <c r="F31" s="41">
        <f t="shared" si="2"/>
        <v>250000</v>
      </c>
      <c r="G31" s="41">
        <f>IF(A31="","",SUMIFS(CHUYEN_THANG!$D$4:$D$403,CHUYEN_THANG!$A$4:$A$403,$B$4,CHUYEN_THANG!$B$4:$B$403,A31))</f>
        <v>0</v>
      </c>
      <c r="H31" s="41">
        <f t="shared" si="3"/>
        <v>250000</v>
      </c>
      <c r="I31" s="47">
        <f t="shared" si="4"/>
        <v>250000</v>
      </c>
      <c r="J31" s="41">
        <f t="shared" si="5"/>
        <v>0</v>
      </c>
      <c r="K31" s="41">
        <f t="shared" si="6"/>
        <v>0</v>
      </c>
      <c r="L31" s="48"/>
      <c r="M31" s="9"/>
      <c r="N31" s="49"/>
      <c r="O31" s="49"/>
    </row>
    <row r="32" ht="15.75" customHeight="1">
      <c r="A32" s="45" t="str">
        <f>IFERROR(LOP_01!$A$39,"")</f>
        <v/>
      </c>
      <c r="B32" s="45" t="str">
        <f>IFERROR(LOP_01!$B$39,"")</f>
        <v/>
      </c>
      <c r="C32" s="46" t="str">
        <f>IFERROR(LOP_01!$AH$39,"")</f>
        <v/>
      </c>
      <c r="D32" s="46" t="str">
        <f>IFERROR(LOP_01!$AI$39,"")</f>
        <v/>
      </c>
      <c r="E32" s="41" t="str">
        <f t="shared" si="7"/>
        <v/>
      </c>
      <c r="F32" s="41" t="str">
        <f t="shared" si="2"/>
        <v/>
      </c>
      <c r="G32" s="41" t="str">
        <f>IF(A32="","",SUMIFS(CHUYEN_THANG!$D$4:$D$403,CHUYEN_THANG!$A$4:$A$403,$B$4,CHUYEN_THANG!$B$4:$B$403,A32))</f>
        <v/>
      </c>
      <c r="H32" s="41" t="str">
        <f t="shared" si="3"/>
        <v/>
      </c>
      <c r="I32" s="11"/>
      <c r="J32" s="41" t="str">
        <f t="shared" si="5"/>
        <v/>
      </c>
      <c r="K32" s="41" t="str">
        <f t="shared" si="6"/>
        <v/>
      </c>
      <c r="L32" s="48"/>
      <c r="M32" s="9"/>
      <c r="N32" s="49"/>
      <c r="O32" s="49"/>
    </row>
    <row r="33" ht="15.75" customHeight="1">
      <c r="A33" s="45" t="str">
        <f>IFERROR(LOP_01!$A$40,"")</f>
        <v/>
      </c>
      <c r="B33" s="45" t="str">
        <f>IFERROR(LOP_01!$B$40,"")</f>
        <v/>
      </c>
      <c r="C33" s="46" t="str">
        <f>IFERROR(LOP_01!$AH$40,"")</f>
        <v/>
      </c>
      <c r="D33" s="46" t="str">
        <f>IFERROR(LOP_01!$AI$40,"")</f>
        <v/>
      </c>
      <c r="E33" s="41" t="str">
        <f t="shared" si="7"/>
        <v/>
      </c>
      <c r="F33" s="41" t="str">
        <f t="shared" si="2"/>
        <v/>
      </c>
      <c r="G33" s="41" t="str">
        <f>IF(A33="","",SUMIFS(CHUYEN_THANG!$D$4:$D$403,CHUYEN_THANG!$A$4:$A$403,$B$4,CHUYEN_THANG!$B$4:$B$403,A33))</f>
        <v/>
      </c>
      <c r="H33" s="41" t="str">
        <f t="shared" si="3"/>
        <v/>
      </c>
      <c r="I33" s="11"/>
      <c r="J33" s="41" t="str">
        <f t="shared" si="5"/>
        <v/>
      </c>
      <c r="K33" s="41" t="str">
        <f t="shared" si="6"/>
        <v/>
      </c>
      <c r="L33" s="48"/>
      <c r="M33" s="9"/>
      <c r="N33" s="49"/>
      <c r="O33" s="49"/>
    </row>
    <row r="34" ht="15.75" customHeight="1">
      <c r="A34" s="45" t="str">
        <f>IFERROR(LOP_01!$A$41,"")</f>
        <v/>
      </c>
      <c r="B34" s="45" t="str">
        <f>IFERROR(LOP_01!$B$41,"")</f>
        <v/>
      </c>
      <c r="C34" s="46" t="str">
        <f>IFERROR(LOP_01!$AH$41,"")</f>
        <v/>
      </c>
      <c r="D34" s="46" t="str">
        <f>IFERROR(LOP_01!$AI$41,"")</f>
        <v/>
      </c>
      <c r="E34" s="41" t="str">
        <f t="shared" si="7"/>
        <v/>
      </c>
      <c r="F34" s="41" t="str">
        <f t="shared" si="2"/>
        <v/>
      </c>
      <c r="G34" s="41" t="str">
        <f>IF(A34="","",SUMIFS(CHUYEN_THANG!$D$4:$D$403,CHUYEN_THANG!$A$4:$A$403,$B$4,CHUYEN_THANG!$B$4:$B$403,A34))</f>
        <v/>
      </c>
      <c r="H34" s="41" t="str">
        <f t="shared" si="3"/>
        <v/>
      </c>
      <c r="I34" s="11"/>
      <c r="J34" s="41" t="str">
        <f t="shared" si="5"/>
        <v/>
      </c>
      <c r="K34" s="41" t="str">
        <f t="shared" si="6"/>
        <v/>
      </c>
      <c r="L34" s="48"/>
      <c r="M34" s="9"/>
      <c r="N34" s="49"/>
      <c r="O34" s="49"/>
    </row>
    <row r="35" ht="15.75" customHeight="1">
      <c r="A35" s="45" t="str">
        <f>IFERROR(LOP_01!$A$42,"")</f>
        <v/>
      </c>
      <c r="B35" s="45" t="str">
        <f>IFERROR(LOP_01!$B$42,"")</f>
        <v/>
      </c>
      <c r="C35" s="46" t="str">
        <f>IFERROR(LOP_01!$AH$42,"")</f>
        <v/>
      </c>
      <c r="D35" s="46" t="str">
        <f>IFERROR(LOP_01!$AI$42,"")</f>
        <v/>
      </c>
      <c r="E35" s="41" t="str">
        <f t="shared" si="7"/>
        <v/>
      </c>
      <c r="F35" s="41" t="str">
        <f t="shared" si="2"/>
        <v/>
      </c>
      <c r="G35" s="41" t="str">
        <f>IF(A35="","",SUMIFS(CHUYEN_THANG!$D$4:$D$403,CHUYEN_THANG!$A$4:$A$403,$B$4,CHUYEN_THANG!$B$4:$B$403,A35))</f>
        <v/>
      </c>
      <c r="H35" s="41" t="str">
        <f t="shared" si="3"/>
        <v/>
      </c>
      <c r="I35" s="11"/>
      <c r="J35" s="41" t="str">
        <f t="shared" si="5"/>
        <v/>
      </c>
      <c r="K35" s="41" t="str">
        <f t="shared" si="6"/>
        <v/>
      </c>
      <c r="L35" s="48"/>
      <c r="M35" s="9"/>
      <c r="N35" s="49"/>
      <c r="O35" s="49"/>
    </row>
    <row r="36" ht="15.75" customHeight="1">
      <c r="A36" s="45" t="str">
        <f>IFERROR(LOP_01!$A$43,"")</f>
        <v/>
      </c>
      <c r="B36" s="45" t="str">
        <f>IFERROR(LOP_01!$B$43,"")</f>
        <v/>
      </c>
      <c r="C36" s="46" t="str">
        <f>IFERROR(LOP_01!$AH$43,"")</f>
        <v/>
      </c>
      <c r="D36" s="46" t="str">
        <f>IFERROR(LOP_01!$AI$43,"")</f>
        <v/>
      </c>
      <c r="E36" s="41" t="str">
        <f t="shared" si="7"/>
        <v/>
      </c>
      <c r="F36" s="41" t="str">
        <f t="shared" si="2"/>
        <v/>
      </c>
      <c r="G36" s="41" t="str">
        <f>IF(A36="","",SUMIFS(CHUYEN_THANG!$D$4:$D$403,CHUYEN_THANG!$A$4:$A$403,$B$4,CHUYEN_THANG!$B$4:$B$403,A36))</f>
        <v/>
      </c>
      <c r="H36" s="41" t="str">
        <f t="shared" si="3"/>
        <v/>
      </c>
      <c r="I36" s="11"/>
      <c r="J36" s="41" t="str">
        <f t="shared" si="5"/>
        <v/>
      </c>
      <c r="K36" s="41" t="str">
        <f t="shared" si="6"/>
        <v/>
      </c>
      <c r="L36" s="48"/>
      <c r="M36" s="9"/>
      <c r="N36" s="49"/>
      <c r="O36" s="49"/>
    </row>
    <row r="37" ht="15.75" customHeight="1">
      <c r="A37" s="45" t="str">
        <f>IFERROR(LOP_01!$A$44,"")</f>
        <v/>
      </c>
      <c r="B37" s="45" t="str">
        <f>IFERROR(LOP_01!$B$44,"")</f>
        <v/>
      </c>
      <c r="C37" s="46" t="str">
        <f>IFERROR(LOP_01!$AH$44,"")</f>
        <v/>
      </c>
      <c r="D37" s="46" t="str">
        <f>IFERROR(LOP_01!$AI$44,"")</f>
        <v/>
      </c>
      <c r="E37" s="41" t="str">
        <f t="shared" si="7"/>
        <v/>
      </c>
      <c r="F37" s="41" t="str">
        <f t="shared" si="2"/>
        <v/>
      </c>
      <c r="G37" s="41" t="str">
        <f>IF(A37="","",SUMIFS(CHUYEN_THANG!$D$4:$D$403,CHUYEN_THANG!$A$4:$A$403,$B$4,CHUYEN_THANG!$B$4:$B$403,A37))</f>
        <v/>
      </c>
      <c r="H37" s="41" t="str">
        <f t="shared" si="3"/>
        <v/>
      </c>
      <c r="I37" s="11"/>
      <c r="J37" s="41" t="str">
        <f t="shared" si="5"/>
        <v/>
      </c>
      <c r="K37" s="41" t="str">
        <f t="shared" si="6"/>
        <v/>
      </c>
      <c r="L37" s="48"/>
      <c r="M37" s="9"/>
      <c r="N37" s="49"/>
      <c r="O37" s="49"/>
    </row>
    <row r="38" ht="15.75" customHeight="1">
      <c r="A38" s="45" t="str">
        <f>IFERROR(LOP_01!$A$45,"")</f>
        <v/>
      </c>
      <c r="B38" s="45" t="str">
        <f>IFERROR(LOP_01!$B$45,"")</f>
        <v/>
      </c>
      <c r="C38" s="46" t="str">
        <f>IFERROR(LOP_01!$AH$45,"")</f>
        <v/>
      </c>
      <c r="D38" s="46" t="str">
        <f>IFERROR(LOP_01!$AI$45,"")</f>
        <v/>
      </c>
      <c r="E38" s="41" t="str">
        <f t="shared" si="7"/>
        <v/>
      </c>
      <c r="F38" s="41" t="str">
        <f t="shared" si="2"/>
        <v/>
      </c>
      <c r="G38" s="41" t="str">
        <f>IF(A38="","",SUMIFS(CHUYEN_THANG!$D$4:$D$403,CHUYEN_THANG!$A$4:$A$403,$B$4,CHUYEN_THANG!$B$4:$B$403,A38))</f>
        <v/>
      </c>
      <c r="H38" s="41" t="str">
        <f t="shared" si="3"/>
        <v/>
      </c>
      <c r="I38" s="11"/>
      <c r="J38" s="41" t="str">
        <f t="shared" si="5"/>
        <v/>
      </c>
      <c r="K38" s="41" t="str">
        <f t="shared" si="6"/>
        <v/>
      </c>
      <c r="L38" s="48"/>
      <c r="M38" s="9"/>
      <c r="N38" s="49"/>
      <c r="O38" s="49"/>
    </row>
    <row r="39" ht="15.75" customHeight="1">
      <c r="A39" s="45" t="str">
        <f>IFERROR(LOP_01!$A$46,"")</f>
        <v/>
      </c>
      <c r="B39" s="45" t="str">
        <f>IFERROR(LOP_01!$B$46,"")</f>
        <v/>
      </c>
      <c r="C39" s="46" t="str">
        <f>IFERROR(LOP_01!$AH$46,"")</f>
        <v/>
      </c>
      <c r="D39" s="46" t="str">
        <f>IFERROR(LOP_01!$AI$46,"")</f>
        <v/>
      </c>
      <c r="E39" s="41" t="str">
        <f t="shared" si="7"/>
        <v/>
      </c>
      <c r="F39" s="41" t="str">
        <f t="shared" si="2"/>
        <v/>
      </c>
      <c r="G39" s="41" t="str">
        <f>IF(A39="","",SUMIFS(CHUYEN_THANG!$D$4:$D$403,CHUYEN_THANG!$A$4:$A$403,$B$4,CHUYEN_THANG!$B$4:$B$403,A39))</f>
        <v/>
      </c>
      <c r="H39" s="41" t="str">
        <f t="shared" si="3"/>
        <v/>
      </c>
      <c r="I39" s="11"/>
      <c r="J39" s="41" t="str">
        <f t="shared" si="5"/>
        <v/>
      </c>
      <c r="K39" s="41" t="str">
        <f t="shared" si="6"/>
        <v/>
      </c>
      <c r="L39" s="48"/>
      <c r="M39" s="9"/>
      <c r="N39" s="49"/>
      <c r="O39" s="49"/>
    </row>
    <row r="40" ht="15.75" customHeight="1">
      <c r="A40" s="45" t="str">
        <f>IFERROR(LOP_01!$A$47,"")</f>
        <v/>
      </c>
      <c r="B40" s="45" t="str">
        <f>IFERROR(LOP_01!$B$47,"")</f>
        <v/>
      </c>
      <c r="C40" s="46" t="str">
        <f>IFERROR(LOP_01!$AH$47,"")</f>
        <v/>
      </c>
      <c r="D40" s="46" t="str">
        <f>IFERROR(LOP_01!$AI$47,"")</f>
        <v/>
      </c>
      <c r="E40" s="41" t="str">
        <f t="shared" si="7"/>
        <v/>
      </c>
      <c r="F40" s="41" t="str">
        <f t="shared" si="2"/>
        <v/>
      </c>
      <c r="G40" s="41" t="str">
        <f>IF(A40="","",SUMIFS(CHUYEN_THANG!$D$4:$D$403,CHUYEN_THANG!$A$4:$A$403,$B$4,CHUYEN_THANG!$B$4:$B$403,A40))</f>
        <v/>
      </c>
      <c r="H40" s="41" t="str">
        <f t="shared" si="3"/>
        <v/>
      </c>
      <c r="I40" s="11"/>
      <c r="J40" s="41" t="str">
        <f t="shared" si="5"/>
        <v/>
      </c>
      <c r="K40" s="41" t="str">
        <f t="shared" si="6"/>
        <v/>
      </c>
      <c r="L40" s="48"/>
      <c r="M40" s="9"/>
      <c r="N40" s="49"/>
      <c r="O40" s="49"/>
    </row>
    <row r="41" ht="15.75" customHeight="1">
      <c r="A41" s="45" t="str">
        <f>IFERROR(LOP_01!$A$48,"")</f>
        <v/>
      </c>
      <c r="B41" s="45" t="str">
        <f>IFERROR(LOP_01!$B$48,"")</f>
        <v/>
      </c>
      <c r="C41" s="46" t="str">
        <f>IFERROR(LOP_01!$AH$48,"")</f>
        <v/>
      </c>
      <c r="D41" s="46" t="str">
        <f>IFERROR(LOP_01!$AI$48,"")</f>
        <v/>
      </c>
      <c r="E41" s="41" t="str">
        <f t="shared" si="7"/>
        <v/>
      </c>
      <c r="F41" s="41" t="str">
        <f t="shared" si="2"/>
        <v/>
      </c>
      <c r="G41" s="41" t="str">
        <f>IF(A41="","",SUMIFS(CHUYEN_THANG!$D$4:$D$403,CHUYEN_THANG!$A$4:$A$403,$B$4,CHUYEN_THANG!$B$4:$B$403,A41))</f>
        <v/>
      </c>
      <c r="H41" s="41" t="str">
        <f t="shared" si="3"/>
        <v/>
      </c>
      <c r="I41" s="11"/>
      <c r="J41" s="41" t="str">
        <f t="shared" si="5"/>
        <v/>
      </c>
      <c r="K41" s="41" t="str">
        <f t="shared" si="6"/>
        <v/>
      </c>
      <c r="L41" s="48"/>
      <c r="M41" s="9"/>
      <c r="N41" s="49"/>
      <c r="O41" s="49"/>
    </row>
    <row r="42" ht="15.75" customHeight="1">
      <c r="A42" s="45" t="str">
        <f>IFERROR(LOP_01!$A$49,"")</f>
        <v/>
      </c>
      <c r="B42" s="45" t="str">
        <f>IFERROR(LOP_01!$B$49,"")</f>
        <v/>
      </c>
      <c r="C42" s="46" t="str">
        <f>IFERROR(LOP_01!$AH$49,"")</f>
        <v/>
      </c>
      <c r="D42" s="46" t="str">
        <f>IFERROR(LOP_01!$AI$49,"")</f>
        <v/>
      </c>
      <c r="E42" s="41" t="str">
        <f t="shared" si="7"/>
        <v/>
      </c>
      <c r="F42" s="41" t="str">
        <f t="shared" si="2"/>
        <v/>
      </c>
      <c r="G42" s="41" t="str">
        <f>IF(A42="","",SUMIFS(CHUYEN_THANG!$D$4:$D$403,CHUYEN_THANG!$A$4:$A$403,$B$4,CHUYEN_THANG!$B$4:$B$403,A42))</f>
        <v/>
      </c>
      <c r="H42" s="41" t="str">
        <f t="shared" si="3"/>
        <v/>
      </c>
      <c r="I42" s="11"/>
      <c r="J42" s="41" t="str">
        <f t="shared" si="5"/>
        <v/>
      </c>
      <c r="K42" s="41" t="str">
        <f t="shared" si="6"/>
        <v/>
      </c>
      <c r="L42" s="48"/>
      <c r="M42" s="9"/>
      <c r="N42" s="49"/>
      <c r="O42" s="49"/>
    </row>
    <row r="43" ht="15.75" customHeight="1">
      <c r="A43" s="50"/>
      <c r="B43" s="50"/>
      <c r="C43" s="51"/>
      <c r="D43" s="51"/>
      <c r="E43" s="43"/>
      <c r="F43" s="43"/>
      <c r="G43" s="43"/>
      <c r="H43" s="43"/>
      <c r="I43" s="49"/>
      <c r="J43" s="43"/>
      <c r="K43" s="43"/>
      <c r="L43" s="52"/>
      <c r="M43" s="53"/>
      <c r="N43" s="49"/>
      <c r="O43" s="49"/>
    </row>
    <row r="44" ht="15.75" customHeight="1">
      <c r="A44" s="50"/>
      <c r="B44" s="50"/>
      <c r="C44" s="51"/>
      <c r="D44" s="51"/>
      <c r="E44" s="43"/>
      <c r="F44" s="43"/>
      <c r="G44" s="43"/>
      <c r="H44" s="43"/>
      <c r="I44" s="49"/>
      <c r="J44" s="43"/>
      <c r="K44" s="43"/>
      <c r="L44" s="52"/>
      <c r="M44" s="53"/>
      <c r="N44" s="49"/>
      <c r="O44" s="49"/>
    </row>
    <row r="45" ht="15.75" customHeight="1">
      <c r="A45" s="50"/>
      <c r="B45" s="50"/>
      <c r="C45" s="51"/>
      <c r="D45" s="51"/>
      <c r="E45" s="43"/>
      <c r="F45" s="43"/>
      <c r="G45" s="43"/>
      <c r="H45" s="43"/>
      <c r="I45" s="49"/>
      <c r="J45" s="43"/>
      <c r="K45" s="43"/>
      <c r="L45" s="52"/>
      <c r="M45" s="53"/>
      <c r="N45" s="49"/>
      <c r="O45" s="49"/>
    </row>
    <row r="46" ht="15.75" customHeight="1">
      <c r="A46" s="50"/>
      <c r="B46" s="50"/>
      <c r="C46" s="51"/>
      <c r="D46" s="51"/>
      <c r="E46" s="43"/>
      <c r="F46" s="43"/>
      <c r="G46" s="43"/>
      <c r="H46" s="43"/>
      <c r="I46" s="49"/>
      <c r="J46" s="43"/>
      <c r="K46" s="43"/>
      <c r="L46" s="52"/>
      <c r="M46" s="53"/>
      <c r="N46" s="49"/>
      <c r="O46" s="49"/>
    </row>
    <row r="47" ht="15.75" customHeight="1">
      <c r="A47" s="50"/>
      <c r="B47" s="50"/>
      <c r="C47" s="51"/>
      <c r="D47" s="51"/>
      <c r="E47" s="43"/>
      <c r="F47" s="43"/>
      <c r="G47" s="43"/>
      <c r="H47" s="43"/>
      <c r="I47" s="49"/>
      <c r="J47" s="43"/>
      <c r="K47" s="43"/>
      <c r="L47" s="52"/>
      <c r="M47" s="53"/>
      <c r="N47" s="49"/>
      <c r="O47" s="49"/>
    </row>
    <row r="48" ht="15.75" customHeight="1">
      <c r="A48" s="50"/>
      <c r="B48" s="50"/>
      <c r="C48" s="51"/>
      <c r="D48" s="51"/>
      <c r="E48" s="43"/>
      <c r="F48" s="43"/>
      <c r="G48" s="43"/>
      <c r="H48" s="43"/>
      <c r="I48" s="49"/>
      <c r="J48" s="43"/>
      <c r="K48" s="43"/>
      <c r="L48" s="52"/>
      <c r="M48" s="53"/>
      <c r="N48" s="49"/>
      <c r="O48" s="49"/>
    </row>
    <row r="49" ht="15.75" customHeight="1">
      <c r="A49" s="50"/>
      <c r="B49" s="50"/>
      <c r="C49" s="51"/>
      <c r="D49" s="51"/>
      <c r="E49" s="43"/>
      <c r="F49" s="43"/>
      <c r="G49" s="43"/>
      <c r="H49" s="43"/>
      <c r="I49" s="49"/>
      <c r="J49" s="43"/>
      <c r="K49" s="43"/>
      <c r="L49" s="52"/>
      <c r="M49" s="53"/>
      <c r="N49" s="49"/>
      <c r="O49" s="49"/>
    </row>
    <row r="50" ht="15.75" customHeight="1">
      <c r="A50" s="50"/>
      <c r="B50" s="50"/>
      <c r="C50" s="51"/>
      <c r="D50" s="51"/>
      <c r="E50" s="43"/>
      <c r="F50" s="43"/>
      <c r="G50" s="43"/>
      <c r="H50" s="43"/>
      <c r="I50" s="49"/>
      <c r="J50" s="43"/>
      <c r="K50" s="43"/>
      <c r="L50" s="52"/>
      <c r="M50" s="53"/>
      <c r="N50" s="49"/>
      <c r="O50" s="49"/>
    </row>
    <row r="51" ht="15.75" customHeight="1">
      <c r="A51" s="50"/>
      <c r="B51" s="50"/>
      <c r="C51" s="51"/>
      <c r="D51" s="51"/>
      <c r="E51" s="43"/>
      <c r="F51" s="43"/>
      <c r="G51" s="43"/>
      <c r="H51" s="43"/>
      <c r="I51" s="49"/>
      <c r="J51" s="43"/>
      <c r="K51" s="43"/>
      <c r="L51" s="52"/>
      <c r="M51" s="53"/>
      <c r="N51" s="49"/>
      <c r="O51" s="49"/>
    </row>
    <row r="52" ht="15.75" customHeight="1">
      <c r="A52" s="50"/>
      <c r="B52" s="50"/>
      <c r="C52" s="51"/>
      <c r="D52" s="51"/>
      <c r="E52" s="43"/>
      <c r="F52" s="43"/>
      <c r="G52" s="43"/>
      <c r="H52" s="43"/>
      <c r="I52" s="49"/>
      <c r="J52" s="43"/>
      <c r="K52" s="43"/>
      <c r="L52" s="52"/>
      <c r="M52" s="53"/>
      <c r="N52" s="49"/>
      <c r="O52" s="49"/>
    </row>
    <row r="53" ht="15.75" customHeight="1">
      <c r="A53" s="50"/>
      <c r="B53" s="50"/>
      <c r="C53" s="51"/>
      <c r="D53" s="51"/>
      <c r="E53" s="43"/>
      <c r="F53" s="43"/>
      <c r="G53" s="43"/>
      <c r="H53" s="43"/>
      <c r="I53" s="49"/>
      <c r="J53" s="43"/>
      <c r="K53" s="43"/>
      <c r="L53" s="52"/>
      <c r="M53" s="53"/>
      <c r="N53" s="49"/>
      <c r="O53" s="49"/>
    </row>
    <row r="54" ht="15.75" customHeight="1">
      <c r="A54" s="50"/>
      <c r="B54" s="50"/>
      <c r="C54" s="51"/>
      <c r="D54" s="51"/>
      <c r="E54" s="43"/>
      <c r="F54" s="43"/>
      <c r="G54" s="43"/>
      <c r="H54" s="43"/>
      <c r="I54" s="49"/>
      <c r="J54" s="43"/>
      <c r="K54" s="43"/>
      <c r="L54" s="52"/>
      <c r="M54" s="53"/>
      <c r="N54" s="49"/>
      <c r="O54" s="49"/>
    </row>
    <row r="55" ht="15.75" customHeight="1">
      <c r="A55" s="50"/>
      <c r="B55" s="50"/>
      <c r="C55" s="51"/>
      <c r="D55" s="51"/>
      <c r="E55" s="43"/>
      <c r="F55" s="43"/>
      <c r="G55" s="43"/>
      <c r="H55" s="43"/>
      <c r="I55" s="49"/>
      <c r="J55" s="43"/>
      <c r="K55" s="43"/>
      <c r="L55" s="52"/>
      <c r="M55" s="53"/>
      <c r="N55" s="49"/>
      <c r="O55" s="49"/>
    </row>
    <row r="56" ht="15.75" customHeight="1">
      <c r="A56" s="50"/>
      <c r="B56" s="50"/>
      <c r="C56" s="51"/>
      <c r="D56" s="51"/>
      <c r="E56" s="43"/>
      <c r="F56" s="43"/>
      <c r="G56" s="43"/>
      <c r="H56" s="43"/>
      <c r="I56" s="49"/>
      <c r="J56" s="43"/>
      <c r="K56" s="43"/>
      <c r="L56" s="52"/>
      <c r="M56" s="53"/>
      <c r="N56" s="49"/>
      <c r="O56" s="49"/>
    </row>
    <row r="57" ht="15.75" customHeight="1">
      <c r="A57" s="50"/>
      <c r="B57" s="50"/>
      <c r="C57" s="51"/>
      <c r="D57" s="51"/>
      <c r="E57" s="43"/>
      <c r="F57" s="43"/>
      <c r="G57" s="43"/>
      <c r="H57" s="43"/>
      <c r="I57" s="49"/>
      <c r="J57" s="43"/>
      <c r="K57" s="43"/>
      <c r="L57" s="52"/>
      <c r="M57" s="53"/>
      <c r="N57" s="49"/>
      <c r="O57" s="49"/>
    </row>
    <row r="58" ht="15.75" customHeight="1">
      <c r="A58" s="50"/>
      <c r="B58" s="50"/>
      <c r="C58" s="51"/>
      <c r="D58" s="51"/>
      <c r="E58" s="43"/>
      <c r="F58" s="43"/>
      <c r="G58" s="43"/>
      <c r="H58" s="43"/>
      <c r="I58" s="49"/>
      <c r="J58" s="43"/>
      <c r="K58" s="43"/>
      <c r="L58" s="52"/>
      <c r="M58" s="53"/>
      <c r="N58" s="49"/>
      <c r="O58" s="49"/>
    </row>
    <row r="59" ht="15.75" customHeight="1">
      <c r="A59" s="50"/>
      <c r="B59" s="50"/>
      <c r="C59" s="51"/>
      <c r="D59" s="51"/>
      <c r="E59" s="43"/>
      <c r="F59" s="43"/>
      <c r="G59" s="43"/>
      <c r="H59" s="43"/>
      <c r="I59" s="49"/>
      <c r="J59" s="43"/>
      <c r="K59" s="43"/>
      <c r="L59" s="52"/>
      <c r="M59" s="53"/>
      <c r="N59" s="49"/>
      <c r="O59" s="49"/>
    </row>
    <row r="60" ht="15.75" customHeight="1">
      <c r="A60" s="50"/>
      <c r="B60" s="50"/>
      <c r="C60" s="51"/>
      <c r="D60" s="51"/>
      <c r="E60" s="43"/>
      <c r="F60" s="43"/>
      <c r="G60" s="43"/>
      <c r="H60" s="43"/>
      <c r="I60" s="49"/>
      <c r="J60" s="43"/>
      <c r="K60" s="43"/>
      <c r="L60" s="52"/>
      <c r="M60" s="53"/>
      <c r="N60" s="49"/>
      <c r="O60" s="49"/>
    </row>
    <row r="61" ht="15.75" customHeight="1">
      <c r="A61" s="50"/>
      <c r="B61" s="50"/>
      <c r="C61" s="51"/>
      <c r="D61" s="51"/>
      <c r="E61" s="43"/>
      <c r="F61" s="43"/>
      <c r="G61" s="43"/>
      <c r="H61" s="43"/>
      <c r="I61" s="49"/>
      <c r="J61" s="43"/>
      <c r="K61" s="43"/>
      <c r="L61" s="52"/>
      <c r="M61" s="53"/>
      <c r="N61" s="49"/>
      <c r="O61" s="49"/>
    </row>
    <row r="62" ht="15.75" customHeight="1">
      <c r="A62" s="50"/>
      <c r="B62" s="50"/>
      <c r="C62" s="51"/>
      <c r="D62" s="51"/>
      <c r="E62" s="43"/>
      <c r="F62" s="43"/>
      <c r="G62" s="43"/>
      <c r="H62" s="43"/>
      <c r="I62" s="49"/>
      <c r="J62" s="43"/>
      <c r="K62" s="43"/>
      <c r="L62" s="52"/>
      <c r="M62" s="53"/>
      <c r="N62" s="49"/>
      <c r="O62" s="49"/>
    </row>
    <row r="63" ht="15.75" customHeight="1">
      <c r="A63" s="50"/>
      <c r="B63" s="50"/>
      <c r="C63" s="51"/>
      <c r="D63" s="51"/>
      <c r="E63" s="43"/>
      <c r="F63" s="43"/>
      <c r="G63" s="43"/>
      <c r="H63" s="43"/>
      <c r="I63" s="49"/>
      <c r="J63" s="43"/>
      <c r="K63" s="43"/>
      <c r="L63" s="52"/>
      <c r="M63" s="53"/>
      <c r="N63" s="49"/>
      <c r="O63" s="49"/>
    </row>
    <row r="64" ht="15.75" customHeight="1">
      <c r="A64" s="50"/>
      <c r="B64" s="50"/>
      <c r="C64" s="51"/>
      <c r="D64" s="51"/>
      <c r="E64" s="43"/>
      <c r="F64" s="43"/>
      <c r="G64" s="43"/>
      <c r="H64" s="43"/>
      <c r="I64" s="49"/>
      <c r="J64" s="43"/>
      <c r="K64" s="43"/>
      <c r="L64" s="52"/>
      <c r="M64" s="53"/>
      <c r="N64" s="49"/>
      <c r="O64" s="49"/>
    </row>
    <row r="65" ht="15.75" customHeight="1">
      <c r="A65" s="50"/>
      <c r="B65" s="50"/>
      <c r="C65" s="51"/>
      <c r="D65" s="51"/>
      <c r="E65" s="43"/>
      <c r="F65" s="43"/>
      <c r="G65" s="43"/>
      <c r="H65" s="43"/>
      <c r="I65" s="49"/>
      <c r="J65" s="43"/>
      <c r="K65" s="43"/>
      <c r="L65" s="52"/>
      <c r="M65" s="53"/>
      <c r="N65" s="49"/>
      <c r="O65" s="49"/>
    </row>
    <row r="66" ht="15.75" customHeight="1">
      <c r="A66" s="50"/>
      <c r="B66" s="50"/>
      <c r="C66" s="51"/>
      <c r="D66" s="51"/>
      <c r="E66" s="43"/>
      <c r="F66" s="43"/>
      <c r="G66" s="43"/>
      <c r="H66" s="43"/>
      <c r="I66" s="49"/>
      <c r="J66" s="43"/>
      <c r="K66" s="43"/>
      <c r="L66" s="52"/>
      <c r="M66" s="53"/>
      <c r="N66" s="49"/>
      <c r="O66" s="49"/>
    </row>
    <row r="67" ht="15.75" customHeight="1">
      <c r="A67" s="50"/>
      <c r="B67" s="50"/>
      <c r="C67" s="51"/>
      <c r="D67" s="51"/>
      <c r="E67" s="43"/>
      <c r="F67" s="43"/>
      <c r="G67" s="43"/>
      <c r="H67" s="43"/>
      <c r="I67" s="49"/>
      <c r="J67" s="43"/>
      <c r="K67" s="43"/>
      <c r="L67" s="52"/>
      <c r="M67" s="53"/>
      <c r="N67" s="49"/>
      <c r="O67" s="49"/>
    </row>
    <row r="68" ht="15.75" customHeight="1">
      <c r="A68" s="50"/>
      <c r="B68" s="50"/>
      <c r="C68" s="51"/>
      <c r="D68" s="51"/>
      <c r="E68" s="43"/>
      <c r="F68" s="43"/>
      <c r="G68" s="43"/>
      <c r="H68" s="43"/>
      <c r="I68" s="49"/>
      <c r="J68" s="43"/>
      <c r="K68" s="43"/>
      <c r="L68" s="52"/>
      <c r="M68" s="53"/>
      <c r="N68" s="49"/>
      <c r="O68" s="49"/>
    </row>
    <row r="69" ht="15.75" customHeight="1">
      <c r="A69" s="50"/>
      <c r="B69" s="50"/>
      <c r="C69" s="51"/>
      <c r="D69" s="51"/>
      <c r="E69" s="43"/>
      <c r="F69" s="43"/>
      <c r="G69" s="43"/>
      <c r="H69" s="43"/>
      <c r="I69" s="49"/>
      <c r="J69" s="43"/>
      <c r="K69" s="43"/>
      <c r="L69" s="52"/>
      <c r="M69" s="53"/>
      <c r="N69" s="49"/>
      <c r="O69" s="49"/>
    </row>
    <row r="70" ht="15.75" customHeight="1">
      <c r="A70" s="50"/>
      <c r="B70" s="50"/>
      <c r="C70" s="51"/>
      <c r="D70" s="51"/>
      <c r="E70" s="43"/>
      <c r="F70" s="43"/>
      <c r="G70" s="43"/>
      <c r="H70" s="43"/>
      <c r="I70" s="49"/>
      <c r="J70" s="43"/>
      <c r="K70" s="43"/>
      <c r="L70" s="52"/>
      <c r="M70" s="53"/>
      <c r="N70" s="49"/>
      <c r="O70" s="49"/>
    </row>
    <row r="71" ht="15.75" customHeight="1">
      <c r="A71" s="50"/>
      <c r="B71" s="50"/>
      <c r="C71" s="51"/>
      <c r="D71" s="51"/>
      <c r="E71" s="43"/>
      <c r="F71" s="43"/>
      <c r="G71" s="43"/>
      <c r="H71" s="43"/>
      <c r="I71" s="49"/>
      <c r="J71" s="43"/>
      <c r="K71" s="43"/>
      <c r="L71" s="52"/>
      <c r="M71" s="53"/>
      <c r="N71" s="49"/>
      <c r="O71" s="49"/>
    </row>
    <row r="72" ht="15.75" customHeight="1">
      <c r="A72" s="50"/>
      <c r="B72" s="50"/>
      <c r="C72" s="51"/>
      <c r="D72" s="51"/>
      <c r="E72" s="43"/>
      <c r="F72" s="43"/>
      <c r="G72" s="43"/>
      <c r="H72" s="43"/>
      <c r="I72" s="49"/>
      <c r="J72" s="43"/>
      <c r="K72" s="43"/>
      <c r="L72" s="52"/>
      <c r="M72" s="53"/>
      <c r="N72" s="49"/>
      <c r="O72" s="49"/>
    </row>
    <row r="73" ht="15.75" customHeight="1">
      <c r="A73" s="50"/>
      <c r="B73" s="50"/>
      <c r="C73" s="51"/>
      <c r="D73" s="51"/>
      <c r="E73" s="43"/>
      <c r="F73" s="43"/>
      <c r="G73" s="43"/>
      <c r="H73" s="43"/>
      <c r="I73" s="49"/>
      <c r="J73" s="43"/>
      <c r="K73" s="43"/>
      <c r="L73" s="52"/>
      <c r="M73" s="53"/>
      <c r="N73" s="49"/>
      <c r="O73" s="49"/>
    </row>
    <row r="74" ht="15.75" customHeight="1">
      <c r="A74" s="50"/>
      <c r="B74" s="50"/>
      <c r="C74" s="51"/>
      <c r="D74" s="51"/>
      <c r="E74" s="43"/>
      <c r="F74" s="43"/>
      <c r="G74" s="43"/>
      <c r="H74" s="43"/>
      <c r="I74" s="49"/>
      <c r="J74" s="43"/>
      <c r="K74" s="43"/>
      <c r="L74" s="52"/>
      <c r="M74" s="53"/>
      <c r="N74" s="49"/>
      <c r="O74" s="49"/>
    </row>
    <row r="75" ht="15.75" customHeight="1">
      <c r="A75" s="50"/>
      <c r="B75" s="50"/>
      <c r="C75" s="51"/>
      <c r="D75" s="51"/>
      <c r="E75" s="43"/>
      <c r="F75" s="43"/>
      <c r="G75" s="43"/>
      <c r="H75" s="43"/>
      <c r="I75" s="49"/>
      <c r="J75" s="43"/>
      <c r="K75" s="43"/>
      <c r="L75" s="52"/>
      <c r="M75" s="53"/>
      <c r="N75" s="49"/>
      <c r="O75" s="49"/>
    </row>
    <row r="76" ht="15.75" customHeight="1">
      <c r="A76" s="50"/>
      <c r="B76" s="50"/>
      <c r="C76" s="51"/>
      <c r="D76" s="51"/>
      <c r="E76" s="43"/>
      <c r="F76" s="43"/>
      <c r="G76" s="43"/>
      <c r="H76" s="43"/>
      <c r="I76" s="49"/>
      <c r="J76" s="43"/>
      <c r="K76" s="43"/>
      <c r="L76" s="52"/>
      <c r="M76" s="53"/>
      <c r="N76" s="49"/>
      <c r="O76" s="49"/>
    </row>
    <row r="77" ht="15.75" customHeight="1">
      <c r="A77" s="50"/>
      <c r="B77" s="50"/>
      <c r="C77" s="51"/>
      <c r="D77" s="51"/>
      <c r="E77" s="43"/>
      <c r="F77" s="43"/>
      <c r="G77" s="43"/>
      <c r="H77" s="43"/>
      <c r="I77" s="49"/>
      <c r="J77" s="43"/>
      <c r="K77" s="43"/>
      <c r="L77" s="52"/>
      <c r="M77" s="53"/>
      <c r="N77" s="49"/>
      <c r="O77" s="49"/>
    </row>
    <row r="78" ht="15.75" customHeight="1">
      <c r="A78" s="50"/>
      <c r="B78" s="50"/>
      <c r="C78" s="51"/>
      <c r="D78" s="51"/>
      <c r="E78" s="43"/>
      <c r="F78" s="43"/>
      <c r="G78" s="43"/>
      <c r="H78" s="43"/>
      <c r="I78" s="49"/>
      <c r="J78" s="43"/>
      <c r="K78" s="43"/>
      <c r="L78" s="52"/>
      <c r="M78" s="53"/>
      <c r="N78" s="49"/>
      <c r="O78" s="49"/>
    </row>
    <row r="79" ht="15.75" customHeight="1">
      <c r="A79" s="50"/>
      <c r="B79" s="50"/>
      <c r="C79" s="51"/>
      <c r="D79" s="51"/>
      <c r="E79" s="43"/>
      <c r="F79" s="43"/>
      <c r="G79" s="43"/>
      <c r="H79" s="43"/>
      <c r="I79" s="49"/>
      <c r="J79" s="43"/>
      <c r="K79" s="43"/>
      <c r="L79" s="52"/>
      <c r="M79" s="53"/>
      <c r="N79" s="49"/>
      <c r="O79" s="49"/>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M1"/>
  </mergeCells>
  <conditionalFormatting sqref="J14:J42">
    <cfRule type="cellIs" dxfId="3" priority="1" operator="greaterThan">
      <formula>0</formula>
    </cfRule>
  </conditionalFormatting>
  <conditionalFormatting sqref="J14:J79">
    <cfRule type="expression" dxfId="1" priority="2">
      <formula>J14&gt;0</formula>
    </cfRule>
  </conditionalFormatting>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25.0"/>
    <col customWidth="1" min="3" max="4" width="9.0"/>
    <col customWidth="1" min="5" max="7" width="16.0"/>
    <col customWidth="1" min="8" max="10" width="13.0"/>
    <col customWidth="1" min="11" max="11" width="16.0"/>
    <col customWidth="1" min="12" max="12" width="13.0"/>
    <col customWidth="1" min="13" max="13" width="32.0"/>
    <col customWidth="1" min="14" max="15" width="16.0"/>
  </cols>
  <sheetData>
    <row r="1" ht="30.0" customHeight="1">
      <c r="A1" s="1" t="s">
        <v>112</v>
      </c>
      <c r="N1" s="2"/>
      <c r="O1" s="2"/>
    </row>
    <row r="2">
      <c r="A2" s="3"/>
      <c r="B2" s="3"/>
      <c r="C2" s="3"/>
      <c r="D2" s="3"/>
      <c r="E2" s="3"/>
      <c r="F2" s="3"/>
      <c r="G2" s="3"/>
      <c r="H2" s="3"/>
      <c r="I2" s="3"/>
      <c r="J2" s="3"/>
      <c r="K2" s="3"/>
      <c r="L2" s="3"/>
      <c r="M2" s="3"/>
      <c r="N2" s="3"/>
      <c r="O2" s="3"/>
    </row>
    <row r="3">
      <c r="A3" s="4" t="s">
        <v>95</v>
      </c>
      <c r="B3" s="4" t="s">
        <v>6</v>
      </c>
      <c r="C3" s="3"/>
      <c r="D3" s="4" t="s">
        <v>96</v>
      </c>
      <c r="E3" s="4" t="s">
        <v>6</v>
      </c>
      <c r="F3" s="3"/>
      <c r="G3" s="3"/>
      <c r="H3" s="3"/>
      <c r="I3" s="3"/>
      <c r="J3" s="3"/>
      <c r="K3" s="3"/>
      <c r="L3" s="3"/>
      <c r="M3" s="3"/>
      <c r="N3" s="3"/>
      <c r="O3" s="3"/>
    </row>
    <row r="4">
      <c r="A4" s="38" t="s">
        <v>10</v>
      </c>
      <c r="B4" s="39" t="str">
        <f>IF(DANH_MUC_LOP!B5="","",DANH_MUC_LOP!B5)</f>
        <v>L07</v>
      </c>
      <c r="C4" s="3"/>
      <c r="D4" s="40" t="s">
        <v>97</v>
      </c>
      <c r="E4" s="41">
        <f>SUM(J14:J43)</f>
        <v>0</v>
      </c>
      <c r="F4" s="3"/>
      <c r="G4" s="3"/>
      <c r="H4" s="3"/>
      <c r="I4" s="3"/>
      <c r="J4" s="3"/>
      <c r="K4" s="3"/>
      <c r="L4" s="3"/>
      <c r="M4" s="3"/>
      <c r="N4" s="3"/>
      <c r="O4" s="3"/>
    </row>
    <row r="5">
      <c r="A5" s="38" t="s">
        <v>19</v>
      </c>
      <c r="B5" s="39" t="str">
        <f>IF(DANH_MUC_LOP!C5="","",DANH_MUC_LOP!C5)</f>
        <v>Toán 7 Thầy Cường</v>
      </c>
      <c r="C5" s="3"/>
      <c r="D5" s="40" t="s">
        <v>65</v>
      </c>
      <c r="E5" s="41">
        <f>SUM(K14:K43)</f>
        <v>0</v>
      </c>
      <c r="F5" s="3"/>
      <c r="G5" s="3"/>
      <c r="H5" s="3"/>
      <c r="I5" s="3"/>
      <c r="J5" s="3"/>
      <c r="K5" s="3"/>
      <c r="L5" s="3"/>
      <c r="M5" s="3"/>
      <c r="N5" s="3"/>
      <c r="O5" s="3"/>
    </row>
    <row r="6">
      <c r="A6" s="38" t="s">
        <v>98</v>
      </c>
      <c r="B6" s="39">
        <f>IFERROR(IF(DANH_MUC_LOP!R5&gt;0,DANH_MUC_LOP!R5,LOP_02!$B$16),0)</f>
        <v>8</v>
      </c>
      <c r="C6" s="3"/>
      <c r="D6" s="40" t="s">
        <v>99</v>
      </c>
      <c r="E6" s="41">
        <f>IF(B4="",0,SUMIF(THUONG_HOC_SINH!$A$4:$A$83,B4,THUONG_HOC_SINH!$D$4:$D$83))</f>
        <v>0</v>
      </c>
      <c r="F6" s="3"/>
      <c r="G6" s="3"/>
      <c r="H6" s="3"/>
      <c r="I6" s="3"/>
      <c r="J6" s="3"/>
      <c r="K6" s="3"/>
      <c r="L6" s="3"/>
      <c r="M6" s="3"/>
      <c r="N6" s="3"/>
      <c r="O6" s="3"/>
    </row>
    <row r="7">
      <c r="A7" s="38" t="s">
        <v>23</v>
      </c>
      <c r="B7" s="41">
        <f>IF(DANH_MUC_LOP!B5="","",DANH_MUC_LOP!F5)</f>
        <v>50000</v>
      </c>
      <c r="C7" s="3"/>
      <c r="D7" s="42"/>
      <c r="E7" s="43"/>
      <c r="F7" s="3"/>
      <c r="G7" s="3"/>
      <c r="H7" s="3"/>
      <c r="I7" s="3"/>
      <c r="J7" s="3"/>
      <c r="K7" s="3"/>
      <c r="L7" s="3"/>
      <c r="M7" s="3"/>
      <c r="N7" s="3"/>
      <c r="O7" s="3"/>
    </row>
    <row r="8">
      <c r="A8" s="38" t="s">
        <v>31</v>
      </c>
      <c r="B8" s="39" t="str">
        <f>IF(DANH_MUC_LOP!B5="","",DANH_MUC_LOP!N5)</f>
        <v>Theo buổi</v>
      </c>
      <c r="C8" s="3"/>
      <c r="D8" s="42"/>
      <c r="E8" s="43"/>
      <c r="F8" s="3"/>
      <c r="G8" s="3"/>
      <c r="H8" s="3"/>
      <c r="I8" s="3"/>
      <c r="J8" s="3"/>
      <c r="K8" s="3"/>
      <c r="L8" s="3"/>
      <c r="M8" s="3"/>
      <c r="N8" s="3"/>
      <c r="O8" s="3"/>
    </row>
    <row r="9">
      <c r="A9" s="38" t="s">
        <v>100</v>
      </c>
      <c r="B9" s="39">
        <f>COUNTIF(A14:A43,"?*")</f>
        <v>13</v>
      </c>
      <c r="C9" s="3"/>
      <c r="D9" s="42"/>
      <c r="E9" s="43"/>
      <c r="F9" s="3"/>
      <c r="G9" s="3"/>
      <c r="H9" s="3"/>
      <c r="I9" s="3"/>
      <c r="J9" s="3"/>
      <c r="K9" s="3"/>
      <c r="L9" s="3"/>
      <c r="M9" s="3"/>
      <c r="N9" s="3"/>
      <c r="O9" s="3"/>
    </row>
    <row r="10">
      <c r="A10" s="38" t="s">
        <v>101</v>
      </c>
      <c r="B10" s="41">
        <f>SUM(H14:H43)</f>
        <v>2600000</v>
      </c>
      <c r="C10" s="3"/>
      <c r="D10" s="42"/>
      <c r="E10" s="43"/>
      <c r="F10" s="3"/>
      <c r="G10" s="3"/>
      <c r="H10" s="3"/>
      <c r="I10" s="3"/>
      <c r="J10" s="3"/>
      <c r="K10" s="3"/>
      <c r="L10" s="3"/>
      <c r="M10" s="3"/>
      <c r="N10" s="3"/>
      <c r="O10" s="3"/>
    </row>
    <row r="11">
      <c r="A11" s="38" t="s">
        <v>102</v>
      </c>
      <c r="B11" s="41">
        <f>SUM(I14:I43)</f>
        <v>2600000</v>
      </c>
      <c r="C11" s="3"/>
      <c r="D11" s="42"/>
      <c r="E11" s="43"/>
      <c r="F11" s="3"/>
      <c r="G11" s="3"/>
      <c r="H11" s="3"/>
      <c r="I11" s="3"/>
      <c r="J11" s="3"/>
      <c r="K11" s="3"/>
      <c r="L11" s="3"/>
      <c r="M11" s="3"/>
      <c r="N11" s="3"/>
      <c r="O11" s="3"/>
    </row>
    <row r="12">
      <c r="A12" s="3"/>
      <c r="B12" s="3"/>
      <c r="C12" s="3"/>
      <c r="D12" s="3"/>
      <c r="E12" s="3"/>
      <c r="F12" s="3"/>
      <c r="G12" s="3"/>
      <c r="H12" s="3"/>
      <c r="I12" s="3"/>
      <c r="J12" s="3"/>
      <c r="K12" s="3"/>
      <c r="L12" s="3"/>
      <c r="M12" s="44" t="s">
        <v>113</v>
      </c>
      <c r="N12" s="3"/>
      <c r="O12" s="3"/>
    </row>
    <row r="13" ht="27.75" customHeight="1">
      <c r="A13" s="5" t="s">
        <v>14</v>
      </c>
      <c r="B13" s="5" t="s">
        <v>16</v>
      </c>
      <c r="C13" s="5" t="s">
        <v>104</v>
      </c>
      <c r="D13" s="5" t="s">
        <v>105</v>
      </c>
      <c r="E13" s="5" t="s">
        <v>106</v>
      </c>
      <c r="F13" s="5" t="s">
        <v>107</v>
      </c>
      <c r="G13" s="5" t="s">
        <v>64</v>
      </c>
      <c r="H13" s="5" t="s">
        <v>108</v>
      </c>
      <c r="I13" s="5" t="s">
        <v>102</v>
      </c>
      <c r="J13" s="5" t="s">
        <v>97</v>
      </c>
      <c r="K13" s="5" t="s">
        <v>65</v>
      </c>
      <c r="L13" s="5" t="s">
        <v>109</v>
      </c>
      <c r="M13" s="5" t="s">
        <v>15</v>
      </c>
      <c r="N13" s="5" t="s">
        <v>110</v>
      </c>
      <c r="O13" s="5" t="s">
        <v>111</v>
      </c>
    </row>
    <row r="14">
      <c r="A14" s="45" t="str">
        <f>IFERROR(LOP_02!$A$21,"")</f>
        <v>HS07-001</v>
      </c>
      <c r="B14" s="45" t="str">
        <f>IFERROR(LOP_02!$B$21,"")</f>
        <v>Lê Ngọc Ánh</v>
      </c>
      <c r="C14" s="46">
        <f>IFERROR(LOP_02!$AH$21,"")</f>
        <v>5</v>
      </c>
      <c r="D14" s="46">
        <f>IFERROR(LOP_02!$AI$21,"")</f>
        <v>0</v>
      </c>
      <c r="E14" s="41">
        <f t="shared" ref="E14:E43" si="1">IF(A14="","",$B$7)</f>
        <v>50000</v>
      </c>
      <c r="F14" s="41">
        <f t="shared" ref="F14:F43" si="2">IF(A14="","",IF($B$8="Thu trước",$B$6*E14,C14*E14))</f>
        <v>250000</v>
      </c>
      <c r="G14" s="41">
        <f>IF(A14="","",SUMIFS(CHUYEN_THANG!$D$4:$D$403,CHUYEN_THANG!$A$4:$A$403,$B$4,CHUYEN_THANG!$B$4:$B$403,A14))</f>
        <v>0</v>
      </c>
      <c r="H14" s="41">
        <f t="shared" ref="H14:H43" si="3">IF(A14="","",IF(O14&lt;&gt;"",MAX(0,O14),MAX(0,F14-G14+N14)))</f>
        <v>250000</v>
      </c>
      <c r="I14" s="11">
        <f t="shared" ref="I14:I26" si="4">H14</f>
        <v>250000</v>
      </c>
      <c r="J14" s="41">
        <f t="shared" ref="J14:J43" si="5">IF(A14="","",MAX(0,H14-I14))</f>
        <v>0</v>
      </c>
      <c r="K14" s="41">
        <f t="shared" ref="K14:K43" si="6">IF(A14="","",IF($B$8="Thu trước",D14*E14,0))</f>
        <v>0</v>
      </c>
      <c r="L14" s="48"/>
      <c r="M14" s="9"/>
      <c r="N14" s="49"/>
      <c r="O14" s="49"/>
    </row>
    <row r="15">
      <c r="A15" s="45" t="str">
        <f>IFERROR(LOP_02!$A$22,"")</f>
        <v>HS07-002</v>
      </c>
      <c r="B15" s="45" t="str">
        <f>IFERROR(LOP_02!$B$22,"")</f>
        <v>Nguyễn Thị Hồng Hạnh</v>
      </c>
      <c r="C15" s="46">
        <f>IFERROR(LOP_02!$AH$22,"")</f>
        <v>5</v>
      </c>
      <c r="D15" s="46">
        <f>IFERROR(LOP_02!$AI$22,"")</f>
        <v>0</v>
      </c>
      <c r="E15" s="41">
        <f t="shared" si="1"/>
        <v>50000</v>
      </c>
      <c r="F15" s="41">
        <f t="shared" si="2"/>
        <v>250000</v>
      </c>
      <c r="G15" s="41">
        <f>IF(A15="","",SUMIFS(CHUYEN_THANG!$D$4:$D$403,CHUYEN_THANG!$A$4:$A$403,$B$4,CHUYEN_THANG!$B$4:$B$403,A15))</f>
        <v>0</v>
      </c>
      <c r="H15" s="41">
        <f t="shared" si="3"/>
        <v>250000</v>
      </c>
      <c r="I15" s="11">
        <f t="shared" si="4"/>
        <v>250000</v>
      </c>
      <c r="J15" s="41">
        <f t="shared" si="5"/>
        <v>0</v>
      </c>
      <c r="K15" s="41">
        <f t="shared" si="6"/>
        <v>0</v>
      </c>
      <c r="L15" s="48"/>
      <c r="M15" s="9"/>
      <c r="N15" s="49"/>
      <c r="O15" s="49"/>
    </row>
    <row r="16">
      <c r="A16" s="45" t="str">
        <f>IFERROR(LOP_02!$A$23,"")</f>
        <v>HS07-003</v>
      </c>
      <c r="B16" s="45" t="str">
        <f>IFERROR(LOP_02!$B$23,"")</f>
        <v>Nguyễn Văn Phúc</v>
      </c>
      <c r="C16" s="46">
        <f>IFERROR(LOP_02!$AH$23,"")</f>
        <v>5</v>
      </c>
      <c r="D16" s="46">
        <f>IFERROR(LOP_02!$AI$23,"")</f>
        <v>0</v>
      </c>
      <c r="E16" s="41">
        <f t="shared" si="1"/>
        <v>50000</v>
      </c>
      <c r="F16" s="41">
        <f t="shared" si="2"/>
        <v>250000</v>
      </c>
      <c r="G16" s="41">
        <f>IF(A16="","",SUMIFS(CHUYEN_THANG!$D$4:$D$403,CHUYEN_THANG!$A$4:$A$403,$B$4,CHUYEN_THANG!$B$4:$B$403,A16))</f>
        <v>0</v>
      </c>
      <c r="H16" s="41">
        <f t="shared" si="3"/>
        <v>250000</v>
      </c>
      <c r="I16" s="11">
        <f t="shared" si="4"/>
        <v>250000</v>
      </c>
      <c r="J16" s="41">
        <f t="shared" si="5"/>
        <v>0</v>
      </c>
      <c r="K16" s="41">
        <f t="shared" si="6"/>
        <v>0</v>
      </c>
      <c r="L16" s="48"/>
      <c r="M16" s="9"/>
      <c r="N16" s="49"/>
      <c r="O16" s="49"/>
    </row>
    <row r="17">
      <c r="A17" s="45" t="str">
        <f>IFERROR(LOP_02!$A$24,"")</f>
        <v>HS07-004</v>
      </c>
      <c r="B17" s="45" t="str">
        <f>IFERROR(LOP_02!$B$24,"")</f>
        <v>Đào Thành Lê</v>
      </c>
      <c r="C17" s="46">
        <f>IFERROR(LOP_02!$AH$24,"")</f>
        <v>5</v>
      </c>
      <c r="D17" s="46">
        <f>IFERROR(LOP_02!$AI$24,"")</f>
        <v>0</v>
      </c>
      <c r="E17" s="41">
        <f t="shared" si="1"/>
        <v>50000</v>
      </c>
      <c r="F17" s="41">
        <f t="shared" si="2"/>
        <v>250000</v>
      </c>
      <c r="G17" s="41">
        <f>IF(A17="","",SUMIFS(CHUYEN_THANG!$D$4:$D$403,CHUYEN_THANG!$A$4:$A$403,$B$4,CHUYEN_THANG!$B$4:$B$403,A17))</f>
        <v>0</v>
      </c>
      <c r="H17" s="41">
        <f t="shared" si="3"/>
        <v>250000</v>
      </c>
      <c r="I17" s="11">
        <f t="shared" si="4"/>
        <v>250000</v>
      </c>
      <c r="J17" s="41">
        <f t="shared" si="5"/>
        <v>0</v>
      </c>
      <c r="K17" s="41">
        <f t="shared" si="6"/>
        <v>0</v>
      </c>
      <c r="L17" s="48"/>
      <c r="M17" s="9"/>
      <c r="N17" s="49"/>
      <c r="O17" s="49"/>
    </row>
    <row r="18">
      <c r="A18" s="45" t="str">
        <f>IFERROR(LOP_02!$A$25,"")</f>
        <v>HS07-005</v>
      </c>
      <c r="B18" s="45" t="str">
        <f>IFERROR(LOP_02!$B$25,"")</f>
        <v>Nguyễn Thành Công</v>
      </c>
      <c r="C18" s="46">
        <f>IFERROR(LOP_02!$AH$25,"")</f>
        <v>3</v>
      </c>
      <c r="D18" s="46">
        <f>IFERROR(LOP_02!$AI$25,"")</f>
        <v>0</v>
      </c>
      <c r="E18" s="41">
        <f t="shared" si="1"/>
        <v>50000</v>
      </c>
      <c r="F18" s="41">
        <f t="shared" si="2"/>
        <v>150000</v>
      </c>
      <c r="G18" s="41">
        <f>IF(A18="","",SUMIFS(CHUYEN_THANG!$D$4:$D$403,CHUYEN_THANG!$A$4:$A$403,$B$4,CHUYEN_THANG!$B$4:$B$403,A18))</f>
        <v>0</v>
      </c>
      <c r="H18" s="41">
        <f t="shared" si="3"/>
        <v>150000</v>
      </c>
      <c r="I18" s="11">
        <f t="shared" si="4"/>
        <v>150000</v>
      </c>
      <c r="J18" s="41">
        <f t="shared" si="5"/>
        <v>0</v>
      </c>
      <c r="K18" s="41">
        <f t="shared" si="6"/>
        <v>0</v>
      </c>
      <c r="L18" s="48"/>
      <c r="M18" s="9"/>
      <c r="N18" s="49"/>
      <c r="O18" s="49"/>
    </row>
    <row r="19">
      <c r="A19" s="45" t="str">
        <f>IFERROR(LOP_02!$A$26,"")</f>
        <v>HS07-006</v>
      </c>
      <c r="B19" s="45" t="str">
        <f>IFERROR(LOP_02!$B$26,"")</f>
        <v>Bùi Bảo Minh Anh</v>
      </c>
      <c r="C19" s="46">
        <f>IFERROR(LOP_02!$AH$26,"")</f>
        <v>4</v>
      </c>
      <c r="D19" s="46">
        <f>IFERROR(LOP_02!$AI$26,"")</f>
        <v>1</v>
      </c>
      <c r="E19" s="41">
        <f t="shared" si="1"/>
        <v>50000</v>
      </c>
      <c r="F19" s="41">
        <f t="shared" si="2"/>
        <v>200000</v>
      </c>
      <c r="G19" s="41">
        <f>IF(A19="","",SUMIFS(CHUYEN_THANG!$D$4:$D$403,CHUYEN_THANG!$A$4:$A$403,$B$4,CHUYEN_THANG!$B$4:$B$403,A19))</f>
        <v>0</v>
      </c>
      <c r="H19" s="41">
        <f t="shared" si="3"/>
        <v>200000</v>
      </c>
      <c r="I19" s="11">
        <f t="shared" si="4"/>
        <v>200000</v>
      </c>
      <c r="J19" s="41">
        <f t="shared" si="5"/>
        <v>0</v>
      </c>
      <c r="K19" s="41">
        <f t="shared" si="6"/>
        <v>0</v>
      </c>
      <c r="L19" s="48"/>
      <c r="M19" s="9"/>
      <c r="N19" s="49"/>
      <c r="O19" s="49"/>
    </row>
    <row r="20">
      <c r="A20" s="45" t="str">
        <f>IFERROR(LOP_02!$A$27,"")</f>
        <v>HS07-007</v>
      </c>
      <c r="B20" s="45" t="str">
        <f>IFERROR(LOP_02!$B$27,"")</f>
        <v>Cao Nhật Minh</v>
      </c>
      <c r="C20" s="46">
        <f>IFERROR(LOP_02!$AH$27,"")</f>
        <v>5</v>
      </c>
      <c r="D20" s="46">
        <f>IFERROR(LOP_02!$AI$27,"")</f>
        <v>0</v>
      </c>
      <c r="E20" s="41">
        <f t="shared" si="1"/>
        <v>50000</v>
      </c>
      <c r="F20" s="41">
        <f t="shared" si="2"/>
        <v>250000</v>
      </c>
      <c r="G20" s="41">
        <f>IF(A20="","",SUMIFS(CHUYEN_THANG!$D$4:$D$403,CHUYEN_THANG!$A$4:$A$403,$B$4,CHUYEN_THANG!$B$4:$B$403,A20))</f>
        <v>0</v>
      </c>
      <c r="H20" s="41">
        <f t="shared" si="3"/>
        <v>250000</v>
      </c>
      <c r="I20" s="11">
        <f t="shared" si="4"/>
        <v>250000</v>
      </c>
      <c r="J20" s="41">
        <f t="shared" si="5"/>
        <v>0</v>
      </c>
      <c r="K20" s="41">
        <f t="shared" si="6"/>
        <v>0</v>
      </c>
      <c r="L20" s="48"/>
      <c r="M20" s="9"/>
      <c r="N20" s="49"/>
      <c r="O20" s="49"/>
    </row>
    <row r="21" ht="15.75" customHeight="1">
      <c r="A21" s="45" t="str">
        <f>IFERROR(LOP_02!$A$28,"")</f>
        <v>HS07-008</v>
      </c>
      <c r="B21" s="45" t="str">
        <f>IFERROR(LOP_02!$B$28,"")</f>
        <v>Phạm Mạnh Hùng</v>
      </c>
      <c r="C21" s="46">
        <f>IFERROR(LOP_02!$AH$28,"")</f>
        <v>5</v>
      </c>
      <c r="D21" s="46">
        <f>IFERROR(LOP_02!$AI$28,"")</f>
        <v>0</v>
      </c>
      <c r="E21" s="41">
        <f t="shared" si="1"/>
        <v>50000</v>
      </c>
      <c r="F21" s="41">
        <f t="shared" si="2"/>
        <v>250000</v>
      </c>
      <c r="G21" s="41">
        <f>IF(A21="","",SUMIFS(CHUYEN_THANG!$D$4:$D$403,CHUYEN_THANG!$A$4:$A$403,$B$4,CHUYEN_THANG!$B$4:$B$403,A21))</f>
        <v>0</v>
      </c>
      <c r="H21" s="41">
        <f t="shared" si="3"/>
        <v>250000</v>
      </c>
      <c r="I21" s="11">
        <f t="shared" si="4"/>
        <v>250000</v>
      </c>
      <c r="J21" s="41">
        <f t="shared" si="5"/>
        <v>0</v>
      </c>
      <c r="K21" s="41">
        <f t="shared" si="6"/>
        <v>0</v>
      </c>
      <c r="L21" s="48"/>
      <c r="M21" s="9"/>
      <c r="N21" s="49"/>
      <c r="O21" s="49"/>
    </row>
    <row r="22" ht="15.75" customHeight="1">
      <c r="A22" s="45" t="str">
        <f>IFERROR(LOP_02!$A$29,"")</f>
        <v>HS07-009</v>
      </c>
      <c r="B22" s="45" t="str">
        <f>IFERROR(LOP_02!$B$29,"")</f>
        <v>Hiếu</v>
      </c>
      <c r="C22" s="46">
        <f>IFERROR(LOP_02!$AH$29,"")</f>
        <v>2</v>
      </c>
      <c r="D22" s="46">
        <f>IFERROR(LOP_02!$AI$29,"")</f>
        <v>3</v>
      </c>
      <c r="E22" s="41">
        <f t="shared" si="1"/>
        <v>50000</v>
      </c>
      <c r="F22" s="41">
        <f t="shared" si="2"/>
        <v>100000</v>
      </c>
      <c r="G22" s="41">
        <f>IF(A22="","",SUMIFS(CHUYEN_THANG!$D$4:$D$403,CHUYEN_THANG!$A$4:$A$403,$B$4,CHUYEN_THANG!$B$4:$B$403,A22))</f>
        <v>0</v>
      </c>
      <c r="H22" s="41">
        <f t="shared" si="3"/>
        <v>100000</v>
      </c>
      <c r="I22" s="11">
        <f t="shared" si="4"/>
        <v>100000</v>
      </c>
      <c r="J22" s="41">
        <f t="shared" si="5"/>
        <v>0</v>
      </c>
      <c r="K22" s="41">
        <f t="shared" si="6"/>
        <v>0</v>
      </c>
      <c r="L22" s="48"/>
      <c r="M22" s="9"/>
      <c r="N22" s="49"/>
      <c r="O22" s="49"/>
    </row>
    <row r="23" ht="15.75" customHeight="1">
      <c r="A23" s="45" t="str">
        <f>IFERROR(LOP_02!$A$30,"")</f>
        <v>HS07-010</v>
      </c>
      <c r="B23" s="45" t="str">
        <f>IFERROR(LOP_02!$B$30,"")</f>
        <v>Cẩm Tiên</v>
      </c>
      <c r="C23" s="46">
        <f>IFERROR(LOP_02!$AH$30,"")</f>
        <v>5</v>
      </c>
      <c r="D23" s="46">
        <f>IFERROR(LOP_02!$AI$30,"")</f>
        <v>0</v>
      </c>
      <c r="E23" s="41">
        <f t="shared" si="1"/>
        <v>50000</v>
      </c>
      <c r="F23" s="41">
        <f t="shared" si="2"/>
        <v>250000</v>
      </c>
      <c r="G23" s="41">
        <f>IF(A23="","",SUMIFS(CHUYEN_THANG!$D$4:$D$403,CHUYEN_THANG!$A$4:$A$403,$B$4,CHUYEN_THANG!$B$4:$B$403,A23))</f>
        <v>0</v>
      </c>
      <c r="H23" s="41">
        <f t="shared" si="3"/>
        <v>250000</v>
      </c>
      <c r="I23" s="11">
        <f t="shared" si="4"/>
        <v>250000</v>
      </c>
      <c r="J23" s="41">
        <f t="shared" si="5"/>
        <v>0</v>
      </c>
      <c r="K23" s="41">
        <f t="shared" si="6"/>
        <v>0</v>
      </c>
      <c r="L23" s="48"/>
      <c r="M23" s="9"/>
      <c r="N23" s="49"/>
      <c r="O23" s="49"/>
    </row>
    <row r="24" ht="15.75" customHeight="1">
      <c r="A24" s="45" t="str">
        <f>IFERROR(LOP_02!$A$31,"")</f>
        <v>HS07-011</v>
      </c>
      <c r="B24" s="45" t="str">
        <f>IFERROR(LOP_02!$B$31,"")</f>
        <v>Bảo An</v>
      </c>
      <c r="C24" s="46">
        <f>IFERROR(LOP_02!$AH$31,"")</f>
        <v>5</v>
      </c>
      <c r="D24" s="46">
        <f>IFERROR(LOP_02!$AI$31,"")</f>
        <v>0</v>
      </c>
      <c r="E24" s="41">
        <f t="shared" si="1"/>
        <v>50000</v>
      </c>
      <c r="F24" s="41">
        <f t="shared" si="2"/>
        <v>250000</v>
      </c>
      <c r="G24" s="41">
        <f>IF(A24="","",SUMIFS(CHUYEN_THANG!$D$4:$D$403,CHUYEN_THANG!$A$4:$A$403,$B$4,CHUYEN_THANG!$B$4:$B$403,A24))</f>
        <v>0</v>
      </c>
      <c r="H24" s="41">
        <f t="shared" si="3"/>
        <v>250000</v>
      </c>
      <c r="I24" s="11">
        <f t="shared" si="4"/>
        <v>250000</v>
      </c>
      <c r="J24" s="41">
        <f t="shared" si="5"/>
        <v>0</v>
      </c>
      <c r="K24" s="41">
        <f t="shared" si="6"/>
        <v>0</v>
      </c>
      <c r="L24" s="48"/>
      <c r="M24" s="9"/>
      <c r="N24" s="49"/>
      <c r="O24" s="49"/>
    </row>
    <row r="25" ht="15.75" customHeight="1">
      <c r="A25" s="45" t="str">
        <f>IFERROR(LOP_02!$A$32,"")</f>
        <v>HS07-012</v>
      </c>
      <c r="B25" s="45" t="str">
        <f>IFERROR(LOP_02!$B$32,"")</f>
        <v>Đăng</v>
      </c>
      <c r="C25" s="46">
        <f>IFERROR(LOP_02!$AH$32,"")</f>
        <v>2</v>
      </c>
      <c r="D25" s="46">
        <f>IFERROR(LOP_02!$AI$32,"")</f>
        <v>0</v>
      </c>
      <c r="E25" s="41">
        <f t="shared" si="1"/>
        <v>50000</v>
      </c>
      <c r="F25" s="41">
        <f t="shared" si="2"/>
        <v>100000</v>
      </c>
      <c r="G25" s="41">
        <f>IF(A25="","",SUMIFS(CHUYEN_THANG!$D$4:$D$403,CHUYEN_THANG!$A$4:$A$403,$B$4,CHUYEN_THANG!$B$4:$B$403,A25))</f>
        <v>0</v>
      </c>
      <c r="H25" s="41">
        <f t="shared" si="3"/>
        <v>100000</v>
      </c>
      <c r="I25" s="11">
        <f t="shared" si="4"/>
        <v>100000</v>
      </c>
      <c r="J25" s="41">
        <f t="shared" si="5"/>
        <v>0</v>
      </c>
      <c r="K25" s="41">
        <f t="shared" si="6"/>
        <v>0</v>
      </c>
      <c r="L25" s="48"/>
      <c r="M25" s="9"/>
      <c r="N25" s="49"/>
      <c r="O25" s="49"/>
    </row>
    <row r="26" ht="15.75" customHeight="1">
      <c r="A26" s="45" t="str">
        <f>IFERROR(LOP_02!$A$33,"")</f>
        <v>HS07-013</v>
      </c>
      <c r="B26" s="45" t="str">
        <f>IFERROR(LOP_02!$B$33,"")</f>
        <v>Lan</v>
      </c>
      <c r="C26" s="46">
        <f>IFERROR(LOP_02!$AH$33,"")</f>
        <v>1</v>
      </c>
      <c r="D26" s="46">
        <f>IFERROR(LOP_02!$AI$33,"")</f>
        <v>0</v>
      </c>
      <c r="E26" s="41">
        <f t="shared" si="1"/>
        <v>50000</v>
      </c>
      <c r="F26" s="41">
        <f t="shared" si="2"/>
        <v>50000</v>
      </c>
      <c r="G26" s="41">
        <f>IF(A26="","",SUMIFS(CHUYEN_THANG!$D$4:$D$403,CHUYEN_THANG!$A$4:$A$403,$B$4,CHUYEN_THANG!$B$4:$B$403,A26))</f>
        <v>0</v>
      </c>
      <c r="H26" s="41">
        <f t="shared" si="3"/>
        <v>50000</v>
      </c>
      <c r="I26" s="11">
        <f t="shared" si="4"/>
        <v>50000</v>
      </c>
      <c r="J26" s="41">
        <f t="shared" si="5"/>
        <v>0</v>
      </c>
      <c r="K26" s="41">
        <f t="shared" si="6"/>
        <v>0</v>
      </c>
      <c r="L26" s="48"/>
      <c r="M26" s="9"/>
      <c r="N26" s="49"/>
      <c r="O26" s="49"/>
    </row>
    <row r="27" ht="15.75" customHeight="1">
      <c r="A27" s="45" t="str">
        <f>IFERROR(LOP_02!$A$34,"")</f>
        <v/>
      </c>
      <c r="B27" s="45" t="str">
        <f>IFERROR(LOP_02!$B$34,"")</f>
        <v/>
      </c>
      <c r="C27" s="46" t="str">
        <f>IFERROR(LOP_02!$AH$34,"")</f>
        <v/>
      </c>
      <c r="D27" s="46" t="str">
        <f>IFERROR(LOP_02!$AI$34,"")</f>
        <v/>
      </c>
      <c r="E27" s="41" t="str">
        <f t="shared" si="1"/>
        <v/>
      </c>
      <c r="F27" s="41" t="str">
        <f t="shared" si="2"/>
        <v/>
      </c>
      <c r="G27" s="41" t="str">
        <f>IF(A27="","",SUMIFS(CHUYEN_THANG!$D$4:$D$403,CHUYEN_THANG!$A$4:$A$403,$B$4,CHUYEN_THANG!$B$4:$B$403,A27))</f>
        <v/>
      </c>
      <c r="H27" s="41" t="str">
        <f t="shared" si="3"/>
        <v/>
      </c>
      <c r="I27" s="11"/>
      <c r="J27" s="41" t="str">
        <f t="shared" si="5"/>
        <v/>
      </c>
      <c r="K27" s="41" t="str">
        <f t="shared" si="6"/>
        <v/>
      </c>
      <c r="L27" s="48"/>
      <c r="M27" s="9"/>
      <c r="N27" s="49"/>
      <c r="O27" s="49"/>
    </row>
    <row r="28" ht="15.75" customHeight="1">
      <c r="A28" s="45" t="str">
        <f>IFERROR(LOP_02!$A$35,"")</f>
        <v/>
      </c>
      <c r="B28" s="45" t="str">
        <f>IFERROR(LOP_02!$B$35,"")</f>
        <v/>
      </c>
      <c r="C28" s="46" t="str">
        <f>IFERROR(LOP_02!$AH$35,"")</f>
        <v/>
      </c>
      <c r="D28" s="46" t="str">
        <f>IFERROR(LOP_02!$AI$35,"")</f>
        <v/>
      </c>
      <c r="E28" s="41" t="str">
        <f t="shared" si="1"/>
        <v/>
      </c>
      <c r="F28" s="41" t="str">
        <f t="shared" si="2"/>
        <v/>
      </c>
      <c r="G28" s="41" t="str">
        <f>IF(A28="","",SUMIFS(CHUYEN_THANG!$D$4:$D$403,CHUYEN_THANG!$A$4:$A$403,$B$4,CHUYEN_THANG!$B$4:$B$403,A28))</f>
        <v/>
      </c>
      <c r="H28" s="41" t="str">
        <f t="shared" si="3"/>
        <v/>
      </c>
      <c r="I28" s="11"/>
      <c r="J28" s="41" t="str">
        <f t="shared" si="5"/>
        <v/>
      </c>
      <c r="K28" s="41" t="str">
        <f t="shared" si="6"/>
        <v/>
      </c>
      <c r="L28" s="48"/>
      <c r="M28" s="9"/>
      <c r="N28" s="49"/>
      <c r="O28" s="49"/>
    </row>
    <row r="29" ht="15.75" customHeight="1">
      <c r="A29" s="45" t="str">
        <f>IFERROR(LOP_02!$A$36,"")</f>
        <v/>
      </c>
      <c r="B29" s="45" t="str">
        <f>IFERROR(LOP_02!$B$36,"")</f>
        <v/>
      </c>
      <c r="C29" s="46" t="str">
        <f>IFERROR(LOP_02!$AH$36,"")</f>
        <v/>
      </c>
      <c r="D29" s="46" t="str">
        <f>IFERROR(LOP_02!$AI$36,"")</f>
        <v/>
      </c>
      <c r="E29" s="41" t="str">
        <f t="shared" si="1"/>
        <v/>
      </c>
      <c r="F29" s="41" t="str">
        <f t="shared" si="2"/>
        <v/>
      </c>
      <c r="G29" s="41" t="str">
        <f>IF(A29="","",SUMIFS(CHUYEN_THANG!$D$4:$D$403,CHUYEN_THANG!$A$4:$A$403,$B$4,CHUYEN_THANG!$B$4:$B$403,A29))</f>
        <v/>
      </c>
      <c r="H29" s="41" t="str">
        <f t="shared" si="3"/>
        <v/>
      </c>
      <c r="I29" s="11"/>
      <c r="J29" s="41" t="str">
        <f t="shared" si="5"/>
        <v/>
      </c>
      <c r="K29" s="41" t="str">
        <f t="shared" si="6"/>
        <v/>
      </c>
      <c r="L29" s="48"/>
      <c r="M29" s="9"/>
      <c r="N29" s="49"/>
      <c r="O29" s="49"/>
    </row>
    <row r="30" ht="15.75" customHeight="1">
      <c r="A30" s="45" t="str">
        <f>IFERROR(LOP_02!$A$37,"")</f>
        <v/>
      </c>
      <c r="B30" s="45" t="str">
        <f>IFERROR(LOP_02!$B$37,"")</f>
        <v/>
      </c>
      <c r="C30" s="46" t="str">
        <f>IFERROR(LOP_02!$AH$37,"")</f>
        <v/>
      </c>
      <c r="D30" s="46" t="str">
        <f>IFERROR(LOP_02!$AI$37,"")</f>
        <v/>
      </c>
      <c r="E30" s="41" t="str">
        <f t="shared" si="1"/>
        <v/>
      </c>
      <c r="F30" s="41" t="str">
        <f t="shared" si="2"/>
        <v/>
      </c>
      <c r="G30" s="41" t="str">
        <f>IF(A30="","",SUMIFS(CHUYEN_THANG!$D$4:$D$403,CHUYEN_THANG!$A$4:$A$403,$B$4,CHUYEN_THANG!$B$4:$B$403,A30))</f>
        <v/>
      </c>
      <c r="H30" s="41" t="str">
        <f t="shared" si="3"/>
        <v/>
      </c>
      <c r="I30" s="11"/>
      <c r="J30" s="41" t="str">
        <f t="shared" si="5"/>
        <v/>
      </c>
      <c r="K30" s="41" t="str">
        <f t="shared" si="6"/>
        <v/>
      </c>
      <c r="L30" s="48"/>
      <c r="M30" s="9"/>
      <c r="N30" s="49"/>
      <c r="O30" s="49"/>
    </row>
    <row r="31" ht="15.75" customHeight="1">
      <c r="A31" s="45" t="str">
        <f>IFERROR(LOP_02!$A$38,"")</f>
        <v/>
      </c>
      <c r="B31" s="45" t="str">
        <f>IFERROR(LOP_02!$B$38,"")</f>
        <v/>
      </c>
      <c r="C31" s="46" t="str">
        <f>IFERROR(LOP_02!$AH$38,"")</f>
        <v/>
      </c>
      <c r="D31" s="46" t="str">
        <f>IFERROR(LOP_02!$AI$38,"")</f>
        <v/>
      </c>
      <c r="E31" s="41" t="str">
        <f t="shared" si="1"/>
        <v/>
      </c>
      <c r="F31" s="41" t="str">
        <f t="shared" si="2"/>
        <v/>
      </c>
      <c r="G31" s="41" t="str">
        <f>IF(A31="","",SUMIFS(CHUYEN_THANG!$D$4:$D$403,CHUYEN_THANG!$A$4:$A$403,$B$4,CHUYEN_THANG!$B$4:$B$403,A31))</f>
        <v/>
      </c>
      <c r="H31" s="41" t="str">
        <f t="shared" si="3"/>
        <v/>
      </c>
      <c r="I31" s="11"/>
      <c r="J31" s="41" t="str">
        <f t="shared" si="5"/>
        <v/>
      </c>
      <c r="K31" s="41" t="str">
        <f t="shared" si="6"/>
        <v/>
      </c>
      <c r="L31" s="48"/>
      <c r="M31" s="9"/>
      <c r="N31" s="49"/>
      <c r="O31" s="49"/>
    </row>
    <row r="32" ht="15.75" customHeight="1">
      <c r="A32" s="45" t="str">
        <f>IFERROR(LOP_02!$A$39,"")</f>
        <v/>
      </c>
      <c r="B32" s="45" t="str">
        <f>IFERROR(LOP_02!$B$39,"")</f>
        <v/>
      </c>
      <c r="C32" s="46" t="str">
        <f>IFERROR(LOP_02!$AH$39,"")</f>
        <v/>
      </c>
      <c r="D32" s="46" t="str">
        <f>IFERROR(LOP_02!$AI$39,"")</f>
        <v/>
      </c>
      <c r="E32" s="41" t="str">
        <f t="shared" si="1"/>
        <v/>
      </c>
      <c r="F32" s="41" t="str">
        <f t="shared" si="2"/>
        <v/>
      </c>
      <c r="G32" s="41" t="str">
        <f>IF(A32="","",SUMIFS(CHUYEN_THANG!$D$4:$D$403,CHUYEN_THANG!$A$4:$A$403,$B$4,CHUYEN_THANG!$B$4:$B$403,A32))</f>
        <v/>
      </c>
      <c r="H32" s="41" t="str">
        <f t="shared" si="3"/>
        <v/>
      </c>
      <c r="I32" s="11"/>
      <c r="J32" s="41" t="str">
        <f t="shared" si="5"/>
        <v/>
      </c>
      <c r="K32" s="41" t="str">
        <f t="shared" si="6"/>
        <v/>
      </c>
      <c r="L32" s="48"/>
      <c r="M32" s="9"/>
      <c r="N32" s="49"/>
      <c r="O32" s="49"/>
    </row>
    <row r="33" ht="15.75" customHeight="1">
      <c r="A33" s="45" t="str">
        <f>IFERROR(LOP_02!$A$40,"")</f>
        <v/>
      </c>
      <c r="B33" s="45" t="str">
        <f>IFERROR(LOP_02!$B$40,"")</f>
        <v/>
      </c>
      <c r="C33" s="46" t="str">
        <f>IFERROR(LOP_02!$AH$40,"")</f>
        <v/>
      </c>
      <c r="D33" s="46" t="str">
        <f>IFERROR(LOP_02!$AI$40,"")</f>
        <v/>
      </c>
      <c r="E33" s="41" t="str">
        <f t="shared" si="1"/>
        <v/>
      </c>
      <c r="F33" s="41" t="str">
        <f t="shared" si="2"/>
        <v/>
      </c>
      <c r="G33" s="41" t="str">
        <f>IF(A33="","",SUMIFS(CHUYEN_THANG!$D$4:$D$403,CHUYEN_THANG!$A$4:$A$403,$B$4,CHUYEN_THANG!$B$4:$B$403,A33))</f>
        <v/>
      </c>
      <c r="H33" s="41" t="str">
        <f t="shared" si="3"/>
        <v/>
      </c>
      <c r="I33" s="11"/>
      <c r="J33" s="41" t="str">
        <f t="shared" si="5"/>
        <v/>
      </c>
      <c r="K33" s="41" t="str">
        <f t="shared" si="6"/>
        <v/>
      </c>
      <c r="L33" s="48"/>
      <c r="M33" s="9"/>
      <c r="N33" s="49"/>
      <c r="O33" s="49"/>
    </row>
    <row r="34" ht="15.75" customHeight="1">
      <c r="A34" s="45" t="str">
        <f>IFERROR(LOP_02!$A$41,"")</f>
        <v/>
      </c>
      <c r="B34" s="45" t="str">
        <f>IFERROR(LOP_02!$B$41,"")</f>
        <v/>
      </c>
      <c r="C34" s="46" t="str">
        <f>IFERROR(LOP_02!$AH$41,"")</f>
        <v/>
      </c>
      <c r="D34" s="46" t="str">
        <f>IFERROR(LOP_02!$AI$41,"")</f>
        <v/>
      </c>
      <c r="E34" s="41" t="str">
        <f t="shared" si="1"/>
        <v/>
      </c>
      <c r="F34" s="41" t="str">
        <f t="shared" si="2"/>
        <v/>
      </c>
      <c r="G34" s="41" t="str">
        <f>IF(A34="","",SUMIFS(CHUYEN_THANG!$D$4:$D$403,CHUYEN_THANG!$A$4:$A$403,$B$4,CHUYEN_THANG!$B$4:$B$403,A34))</f>
        <v/>
      </c>
      <c r="H34" s="41" t="str">
        <f t="shared" si="3"/>
        <v/>
      </c>
      <c r="I34" s="11"/>
      <c r="J34" s="41" t="str">
        <f t="shared" si="5"/>
        <v/>
      </c>
      <c r="K34" s="41" t="str">
        <f t="shared" si="6"/>
        <v/>
      </c>
      <c r="L34" s="48"/>
      <c r="M34" s="9"/>
      <c r="N34" s="49"/>
      <c r="O34" s="49"/>
    </row>
    <row r="35" ht="15.75" customHeight="1">
      <c r="A35" s="45" t="str">
        <f>IFERROR(LOP_02!$A$42,"")</f>
        <v/>
      </c>
      <c r="B35" s="45" t="str">
        <f>IFERROR(LOP_02!$B$42,"")</f>
        <v/>
      </c>
      <c r="C35" s="46" t="str">
        <f>IFERROR(LOP_02!$AH$42,"")</f>
        <v/>
      </c>
      <c r="D35" s="46" t="str">
        <f>IFERROR(LOP_02!$AI$42,"")</f>
        <v/>
      </c>
      <c r="E35" s="41" t="str">
        <f t="shared" si="1"/>
        <v/>
      </c>
      <c r="F35" s="41" t="str">
        <f t="shared" si="2"/>
        <v/>
      </c>
      <c r="G35" s="41" t="str">
        <f>IF(A35="","",SUMIFS(CHUYEN_THANG!$D$4:$D$403,CHUYEN_THANG!$A$4:$A$403,$B$4,CHUYEN_THANG!$B$4:$B$403,A35))</f>
        <v/>
      </c>
      <c r="H35" s="41" t="str">
        <f t="shared" si="3"/>
        <v/>
      </c>
      <c r="I35" s="11"/>
      <c r="J35" s="41" t="str">
        <f t="shared" si="5"/>
        <v/>
      </c>
      <c r="K35" s="41" t="str">
        <f t="shared" si="6"/>
        <v/>
      </c>
      <c r="L35" s="48"/>
      <c r="M35" s="9"/>
      <c r="N35" s="49"/>
      <c r="O35" s="49"/>
    </row>
    <row r="36" ht="15.75" customHeight="1">
      <c r="A36" s="45" t="str">
        <f>IFERROR(LOP_02!$A$43,"")</f>
        <v/>
      </c>
      <c r="B36" s="45" t="str">
        <f>IFERROR(LOP_02!$B$43,"")</f>
        <v/>
      </c>
      <c r="C36" s="46" t="str">
        <f>IFERROR(LOP_02!$AH$43,"")</f>
        <v/>
      </c>
      <c r="D36" s="46" t="str">
        <f>IFERROR(LOP_02!$AI$43,"")</f>
        <v/>
      </c>
      <c r="E36" s="41" t="str">
        <f t="shared" si="1"/>
        <v/>
      </c>
      <c r="F36" s="41" t="str">
        <f t="shared" si="2"/>
        <v/>
      </c>
      <c r="G36" s="41" t="str">
        <f>IF(A36="","",SUMIFS(CHUYEN_THANG!$D$4:$D$403,CHUYEN_THANG!$A$4:$A$403,$B$4,CHUYEN_THANG!$B$4:$B$403,A36))</f>
        <v/>
      </c>
      <c r="H36" s="41" t="str">
        <f t="shared" si="3"/>
        <v/>
      </c>
      <c r="I36" s="11"/>
      <c r="J36" s="41" t="str">
        <f t="shared" si="5"/>
        <v/>
      </c>
      <c r="K36" s="41" t="str">
        <f t="shared" si="6"/>
        <v/>
      </c>
      <c r="L36" s="48"/>
      <c r="M36" s="9"/>
      <c r="N36" s="49"/>
      <c r="O36" s="49"/>
    </row>
    <row r="37" ht="15.75" customHeight="1">
      <c r="A37" s="45" t="str">
        <f>IFERROR(LOP_02!$A$44,"")</f>
        <v/>
      </c>
      <c r="B37" s="45" t="str">
        <f>IFERROR(LOP_02!$B$44,"")</f>
        <v/>
      </c>
      <c r="C37" s="46" t="str">
        <f>IFERROR(LOP_02!$AH$44,"")</f>
        <v/>
      </c>
      <c r="D37" s="46" t="str">
        <f>IFERROR(LOP_02!$AI$44,"")</f>
        <v/>
      </c>
      <c r="E37" s="41" t="str">
        <f t="shared" si="1"/>
        <v/>
      </c>
      <c r="F37" s="41" t="str">
        <f t="shared" si="2"/>
        <v/>
      </c>
      <c r="G37" s="41" t="str">
        <f>IF(A37="","",SUMIFS(CHUYEN_THANG!$D$4:$D$403,CHUYEN_THANG!$A$4:$A$403,$B$4,CHUYEN_THANG!$B$4:$B$403,A37))</f>
        <v/>
      </c>
      <c r="H37" s="41" t="str">
        <f t="shared" si="3"/>
        <v/>
      </c>
      <c r="I37" s="11"/>
      <c r="J37" s="41" t="str">
        <f t="shared" si="5"/>
        <v/>
      </c>
      <c r="K37" s="41" t="str">
        <f t="shared" si="6"/>
        <v/>
      </c>
      <c r="L37" s="48"/>
      <c r="M37" s="9"/>
      <c r="N37" s="49"/>
      <c r="O37" s="49"/>
    </row>
    <row r="38" ht="15.75" customHeight="1">
      <c r="A38" s="45" t="str">
        <f>IFERROR(LOP_02!$A$45,"")</f>
        <v/>
      </c>
      <c r="B38" s="45" t="str">
        <f>IFERROR(LOP_02!$B$45,"")</f>
        <v/>
      </c>
      <c r="C38" s="46" t="str">
        <f>IFERROR(LOP_02!$AH$45,"")</f>
        <v/>
      </c>
      <c r="D38" s="46" t="str">
        <f>IFERROR(LOP_02!$AI$45,"")</f>
        <v/>
      </c>
      <c r="E38" s="41" t="str">
        <f t="shared" si="1"/>
        <v/>
      </c>
      <c r="F38" s="41" t="str">
        <f t="shared" si="2"/>
        <v/>
      </c>
      <c r="G38" s="41" t="str">
        <f>IF(A38="","",SUMIFS(CHUYEN_THANG!$D$4:$D$403,CHUYEN_THANG!$A$4:$A$403,$B$4,CHUYEN_THANG!$B$4:$B$403,A38))</f>
        <v/>
      </c>
      <c r="H38" s="41" t="str">
        <f t="shared" si="3"/>
        <v/>
      </c>
      <c r="I38" s="11"/>
      <c r="J38" s="41" t="str">
        <f t="shared" si="5"/>
        <v/>
      </c>
      <c r="K38" s="41" t="str">
        <f t="shared" si="6"/>
        <v/>
      </c>
      <c r="L38" s="48"/>
      <c r="M38" s="9"/>
      <c r="N38" s="49"/>
      <c r="O38" s="49"/>
    </row>
    <row r="39" ht="15.75" customHeight="1">
      <c r="A39" s="45" t="str">
        <f>IFERROR(LOP_02!$A$46,"")</f>
        <v/>
      </c>
      <c r="B39" s="45" t="str">
        <f>IFERROR(LOP_02!$B$46,"")</f>
        <v/>
      </c>
      <c r="C39" s="46" t="str">
        <f>IFERROR(LOP_02!$AH$46,"")</f>
        <v/>
      </c>
      <c r="D39" s="46" t="str">
        <f>IFERROR(LOP_02!$AI$46,"")</f>
        <v/>
      </c>
      <c r="E39" s="41" t="str">
        <f t="shared" si="1"/>
        <v/>
      </c>
      <c r="F39" s="41" t="str">
        <f t="shared" si="2"/>
        <v/>
      </c>
      <c r="G39" s="41" t="str">
        <f>IF(A39="","",SUMIFS(CHUYEN_THANG!$D$4:$D$403,CHUYEN_THANG!$A$4:$A$403,$B$4,CHUYEN_THANG!$B$4:$B$403,A39))</f>
        <v/>
      </c>
      <c r="H39" s="41" t="str">
        <f t="shared" si="3"/>
        <v/>
      </c>
      <c r="I39" s="11"/>
      <c r="J39" s="41" t="str">
        <f t="shared" si="5"/>
        <v/>
      </c>
      <c r="K39" s="41" t="str">
        <f t="shared" si="6"/>
        <v/>
      </c>
      <c r="L39" s="48"/>
      <c r="M39" s="9"/>
      <c r="N39" s="49"/>
      <c r="O39" s="49"/>
    </row>
    <row r="40" ht="15.75" customHeight="1">
      <c r="A40" s="45" t="str">
        <f>IFERROR(LOP_02!$A$47,"")</f>
        <v/>
      </c>
      <c r="B40" s="45" t="str">
        <f>IFERROR(LOP_02!$B$47,"")</f>
        <v/>
      </c>
      <c r="C40" s="46" t="str">
        <f>IFERROR(LOP_02!$AH$47,"")</f>
        <v/>
      </c>
      <c r="D40" s="46" t="str">
        <f>IFERROR(LOP_02!$AI$47,"")</f>
        <v/>
      </c>
      <c r="E40" s="41" t="str">
        <f t="shared" si="1"/>
        <v/>
      </c>
      <c r="F40" s="41" t="str">
        <f t="shared" si="2"/>
        <v/>
      </c>
      <c r="G40" s="41" t="str">
        <f>IF(A40="","",SUMIFS(CHUYEN_THANG!$D$4:$D$403,CHUYEN_THANG!$A$4:$A$403,$B$4,CHUYEN_THANG!$B$4:$B$403,A40))</f>
        <v/>
      </c>
      <c r="H40" s="41" t="str">
        <f t="shared" si="3"/>
        <v/>
      </c>
      <c r="I40" s="11"/>
      <c r="J40" s="41" t="str">
        <f t="shared" si="5"/>
        <v/>
      </c>
      <c r="K40" s="41" t="str">
        <f t="shared" si="6"/>
        <v/>
      </c>
      <c r="L40" s="48"/>
      <c r="M40" s="9"/>
      <c r="N40" s="49"/>
      <c r="O40" s="49"/>
    </row>
    <row r="41" ht="15.75" customHeight="1">
      <c r="A41" s="45" t="str">
        <f>IFERROR(LOP_02!$A$48,"")</f>
        <v/>
      </c>
      <c r="B41" s="45" t="str">
        <f>IFERROR(LOP_02!$B$48,"")</f>
        <v/>
      </c>
      <c r="C41" s="46" t="str">
        <f>IFERROR(LOP_02!$AH$48,"")</f>
        <v/>
      </c>
      <c r="D41" s="46" t="str">
        <f>IFERROR(LOP_02!$AI$48,"")</f>
        <v/>
      </c>
      <c r="E41" s="41" t="str">
        <f t="shared" si="1"/>
        <v/>
      </c>
      <c r="F41" s="41" t="str">
        <f t="shared" si="2"/>
        <v/>
      </c>
      <c r="G41" s="41" t="str">
        <f>IF(A41="","",SUMIFS(CHUYEN_THANG!$D$4:$D$403,CHUYEN_THANG!$A$4:$A$403,$B$4,CHUYEN_THANG!$B$4:$B$403,A41))</f>
        <v/>
      </c>
      <c r="H41" s="41" t="str">
        <f t="shared" si="3"/>
        <v/>
      </c>
      <c r="I41" s="11"/>
      <c r="J41" s="41" t="str">
        <f t="shared" si="5"/>
        <v/>
      </c>
      <c r="K41" s="41" t="str">
        <f t="shared" si="6"/>
        <v/>
      </c>
      <c r="L41" s="48"/>
      <c r="M41" s="9"/>
      <c r="N41" s="49"/>
      <c r="O41" s="49"/>
    </row>
    <row r="42" ht="15.75" customHeight="1">
      <c r="A42" s="45" t="str">
        <f>IFERROR(LOP_02!$A$49,"")</f>
        <v/>
      </c>
      <c r="B42" s="45" t="str">
        <f>IFERROR(LOP_02!$B$49,"")</f>
        <v/>
      </c>
      <c r="C42" s="46" t="str">
        <f>IFERROR(LOP_02!$AH$49,"")</f>
        <v/>
      </c>
      <c r="D42" s="46" t="str">
        <f>IFERROR(LOP_02!$AI$49,"")</f>
        <v/>
      </c>
      <c r="E42" s="41" t="str">
        <f t="shared" si="1"/>
        <v/>
      </c>
      <c r="F42" s="41" t="str">
        <f t="shared" si="2"/>
        <v/>
      </c>
      <c r="G42" s="41" t="str">
        <f>IF(A42="","",SUMIFS(CHUYEN_THANG!$D$4:$D$403,CHUYEN_THANG!$A$4:$A$403,$B$4,CHUYEN_THANG!$B$4:$B$403,A42))</f>
        <v/>
      </c>
      <c r="H42" s="41" t="str">
        <f t="shared" si="3"/>
        <v/>
      </c>
      <c r="I42" s="11"/>
      <c r="J42" s="41" t="str">
        <f t="shared" si="5"/>
        <v/>
      </c>
      <c r="K42" s="41" t="str">
        <f t="shared" si="6"/>
        <v/>
      </c>
      <c r="L42" s="48"/>
      <c r="M42" s="9"/>
      <c r="N42" s="49"/>
      <c r="O42" s="49"/>
    </row>
    <row r="43" ht="15.75" customHeight="1">
      <c r="A43" s="45" t="str">
        <f>IFERROR(LOP_02!$A$50,"")</f>
        <v/>
      </c>
      <c r="B43" s="45" t="str">
        <f>IFERROR(LOP_02!$B$50,"")</f>
        <v/>
      </c>
      <c r="C43" s="46" t="str">
        <f>IFERROR(LOP_02!$AH$50,"")</f>
        <v/>
      </c>
      <c r="D43" s="46" t="str">
        <f>IFERROR(LOP_02!$AI$50,"")</f>
        <v/>
      </c>
      <c r="E43" s="41" t="str">
        <f t="shared" si="1"/>
        <v/>
      </c>
      <c r="F43" s="41" t="str">
        <f t="shared" si="2"/>
        <v/>
      </c>
      <c r="G43" s="41" t="str">
        <f>IF(A43="","",SUMIFS(CHUYEN_THANG!$D$4:$D$403,CHUYEN_THANG!$A$4:$A$403,$B$4,CHUYEN_THANG!$B$4:$B$403,A43))</f>
        <v/>
      </c>
      <c r="H43" s="41" t="str">
        <f t="shared" si="3"/>
        <v/>
      </c>
      <c r="I43" s="11"/>
      <c r="J43" s="41" t="str">
        <f t="shared" si="5"/>
        <v/>
      </c>
      <c r="K43" s="41" t="str">
        <f t="shared" si="6"/>
        <v/>
      </c>
      <c r="L43" s="48"/>
      <c r="M43" s="9"/>
      <c r="N43" s="49"/>
      <c r="O43" s="49"/>
    </row>
    <row r="44" ht="15.75" customHeight="1">
      <c r="A44" s="50"/>
      <c r="B44" s="50"/>
      <c r="C44" s="51"/>
      <c r="D44" s="51"/>
      <c r="E44" s="43"/>
      <c r="F44" s="43"/>
      <c r="G44" s="43"/>
      <c r="H44" s="43"/>
      <c r="I44" s="49"/>
      <c r="J44" s="43"/>
      <c r="K44" s="43"/>
      <c r="L44" s="52"/>
      <c r="M44" s="53"/>
      <c r="N44" s="49"/>
      <c r="O44" s="49"/>
    </row>
    <row r="45" ht="15.75" customHeight="1">
      <c r="A45" s="50"/>
      <c r="B45" s="50"/>
      <c r="C45" s="51"/>
      <c r="D45" s="51"/>
      <c r="E45" s="43"/>
      <c r="F45" s="43"/>
      <c r="G45" s="43"/>
      <c r="H45" s="43"/>
      <c r="I45" s="49"/>
      <c r="J45" s="43"/>
      <c r="K45" s="43"/>
      <c r="L45" s="52"/>
      <c r="M45" s="53"/>
      <c r="N45" s="49"/>
      <c r="O45" s="49"/>
    </row>
    <row r="46" ht="15.75" customHeight="1">
      <c r="A46" s="50"/>
      <c r="B46" s="50"/>
      <c r="C46" s="51"/>
      <c r="D46" s="51"/>
      <c r="E46" s="43"/>
      <c r="F46" s="43"/>
      <c r="G46" s="43"/>
      <c r="H46" s="43"/>
      <c r="I46" s="49"/>
      <c r="J46" s="43"/>
      <c r="K46" s="43"/>
      <c r="L46" s="52"/>
      <c r="M46" s="53"/>
      <c r="N46" s="49"/>
      <c r="O46" s="49"/>
    </row>
    <row r="47" ht="15.75" customHeight="1">
      <c r="A47" s="50"/>
      <c r="B47" s="50"/>
      <c r="C47" s="51"/>
      <c r="D47" s="51"/>
      <c r="E47" s="43"/>
      <c r="F47" s="43"/>
      <c r="G47" s="43"/>
      <c r="H47" s="43"/>
      <c r="I47" s="49"/>
      <c r="J47" s="43"/>
      <c r="K47" s="43"/>
      <c r="L47" s="52"/>
      <c r="M47" s="53"/>
      <c r="N47" s="49"/>
      <c r="O47" s="49"/>
    </row>
    <row r="48" ht="15.75" customHeight="1">
      <c r="A48" s="50"/>
      <c r="B48" s="50"/>
      <c r="C48" s="51"/>
      <c r="D48" s="51"/>
      <c r="E48" s="43"/>
      <c r="F48" s="43"/>
      <c r="G48" s="43"/>
      <c r="H48" s="43"/>
      <c r="I48" s="49"/>
      <c r="J48" s="43"/>
      <c r="K48" s="43"/>
      <c r="L48" s="52"/>
      <c r="M48" s="53"/>
      <c r="N48" s="49"/>
      <c r="O48" s="49"/>
    </row>
    <row r="49" ht="15.75" customHeight="1">
      <c r="A49" s="50"/>
      <c r="B49" s="50"/>
      <c r="C49" s="51"/>
      <c r="D49" s="51"/>
      <c r="E49" s="43"/>
      <c r="F49" s="43"/>
      <c r="G49" s="43"/>
      <c r="H49" s="43"/>
      <c r="I49" s="49"/>
      <c r="J49" s="43"/>
      <c r="K49" s="43"/>
      <c r="L49" s="52"/>
      <c r="M49" s="53"/>
      <c r="N49" s="49"/>
      <c r="O49" s="49"/>
    </row>
    <row r="50" ht="15.75" customHeight="1">
      <c r="A50" s="50"/>
      <c r="B50" s="50"/>
      <c r="C50" s="51"/>
      <c r="D50" s="51"/>
      <c r="E50" s="43"/>
      <c r="F50" s="43"/>
      <c r="G50" s="43"/>
      <c r="H50" s="43"/>
      <c r="I50" s="49"/>
      <c r="J50" s="43"/>
      <c r="K50" s="43"/>
      <c r="L50" s="52"/>
      <c r="M50" s="53"/>
      <c r="N50" s="49"/>
      <c r="O50" s="49"/>
    </row>
    <row r="51" ht="15.75" customHeight="1">
      <c r="A51" s="50"/>
      <c r="B51" s="50"/>
      <c r="C51" s="51"/>
      <c r="D51" s="51"/>
      <c r="E51" s="43"/>
      <c r="F51" s="43"/>
      <c r="G51" s="43"/>
      <c r="H51" s="43"/>
      <c r="I51" s="49"/>
      <c r="J51" s="43"/>
      <c r="K51" s="43"/>
      <c r="L51" s="52"/>
      <c r="M51" s="53"/>
      <c r="N51" s="49"/>
      <c r="O51" s="49"/>
    </row>
    <row r="52" ht="15.75" customHeight="1">
      <c r="A52" s="50"/>
      <c r="B52" s="50"/>
      <c r="C52" s="51"/>
      <c r="D52" s="51"/>
      <c r="E52" s="43"/>
      <c r="F52" s="43"/>
      <c r="G52" s="43"/>
      <c r="H52" s="43"/>
      <c r="I52" s="49"/>
      <c r="J52" s="43"/>
      <c r="K52" s="43"/>
      <c r="L52" s="52"/>
      <c r="M52" s="53"/>
      <c r="N52" s="49"/>
      <c r="O52" s="49"/>
    </row>
    <row r="53" ht="15.75" customHeight="1">
      <c r="A53" s="50"/>
      <c r="B53" s="50"/>
      <c r="C53" s="51"/>
      <c r="D53" s="51"/>
      <c r="E53" s="43"/>
      <c r="F53" s="43"/>
      <c r="G53" s="43"/>
      <c r="H53" s="43"/>
      <c r="I53" s="49"/>
      <c r="J53" s="43"/>
      <c r="K53" s="43"/>
      <c r="L53" s="52"/>
      <c r="M53" s="53"/>
      <c r="N53" s="49"/>
      <c r="O53" s="49"/>
    </row>
    <row r="54" ht="15.75" customHeight="1">
      <c r="A54" s="50"/>
      <c r="B54" s="50"/>
      <c r="C54" s="51"/>
      <c r="D54" s="51"/>
      <c r="E54" s="43"/>
      <c r="F54" s="43"/>
      <c r="G54" s="43"/>
      <c r="H54" s="43"/>
      <c r="I54" s="49"/>
      <c r="J54" s="43"/>
      <c r="K54" s="43"/>
      <c r="L54" s="52"/>
      <c r="M54" s="53"/>
      <c r="N54" s="49"/>
      <c r="O54" s="49"/>
    </row>
    <row r="55" ht="15.75" customHeight="1">
      <c r="A55" s="50"/>
      <c r="B55" s="50"/>
      <c r="C55" s="51"/>
      <c r="D55" s="51"/>
      <c r="E55" s="43"/>
      <c r="F55" s="43"/>
      <c r="G55" s="43"/>
      <c r="H55" s="43"/>
      <c r="I55" s="49"/>
      <c r="J55" s="43"/>
      <c r="K55" s="43"/>
      <c r="L55" s="52"/>
      <c r="M55" s="53"/>
      <c r="N55" s="49"/>
      <c r="O55" s="49"/>
    </row>
    <row r="56" ht="15.75" customHeight="1">
      <c r="A56" s="50"/>
      <c r="B56" s="50"/>
      <c r="C56" s="51"/>
      <c r="D56" s="51"/>
      <c r="E56" s="43"/>
      <c r="F56" s="43"/>
      <c r="G56" s="43"/>
      <c r="H56" s="43"/>
      <c r="I56" s="49"/>
      <c r="J56" s="43"/>
      <c r="K56" s="43"/>
      <c r="L56" s="52"/>
      <c r="M56" s="53"/>
      <c r="N56" s="49"/>
      <c r="O56" s="49"/>
    </row>
    <row r="57" ht="15.75" customHeight="1">
      <c r="A57" s="50"/>
      <c r="B57" s="50"/>
      <c r="C57" s="51"/>
      <c r="D57" s="51"/>
      <c r="E57" s="43"/>
      <c r="F57" s="43"/>
      <c r="G57" s="43"/>
      <c r="H57" s="43"/>
      <c r="I57" s="49"/>
      <c r="J57" s="43"/>
      <c r="K57" s="43"/>
      <c r="L57" s="52"/>
      <c r="M57" s="53"/>
      <c r="N57" s="49"/>
      <c r="O57" s="49"/>
    </row>
    <row r="58" ht="15.75" customHeight="1">
      <c r="A58" s="50"/>
      <c r="B58" s="50"/>
      <c r="C58" s="51"/>
      <c r="D58" s="51"/>
      <c r="E58" s="43"/>
      <c r="F58" s="43"/>
      <c r="G58" s="43"/>
      <c r="H58" s="43"/>
      <c r="I58" s="49"/>
      <c r="J58" s="43"/>
      <c r="K58" s="43"/>
      <c r="L58" s="52"/>
      <c r="M58" s="53"/>
      <c r="N58" s="49"/>
      <c r="O58" s="49"/>
    </row>
    <row r="59" ht="15.75" customHeight="1">
      <c r="A59" s="50"/>
      <c r="B59" s="50"/>
      <c r="C59" s="51"/>
      <c r="D59" s="51"/>
      <c r="E59" s="43"/>
      <c r="F59" s="43"/>
      <c r="G59" s="43"/>
      <c r="H59" s="43"/>
      <c r="I59" s="49"/>
      <c r="J59" s="43"/>
      <c r="K59" s="43"/>
      <c r="L59" s="52"/>
      <c r="M59" s="53"/>
      <c r="N59" s="49"/>
      <c r="O59" s="49"/>
    </row>
    <row r="60" ht="15.75" customHeight="1">
      <c r="A60" s="50"/>
      <c r="B60" s="50"/>
      <c r="C60" s="51"/>
      <c r="D60" s="51"/>
      <c r="E60" s="43"/>
      <c r="F60" s="43"/>
      <c r="G60" s="43"/>
      <c r="H60" s="43"/>
      <c r="I60" s="49"/>
      <c r="J60" s="43"/>
      <c r="K60" s="43"/>
      <c r="L60" s="52"/>
      <c r="M60" s="53"/>
      <c r="N60" s="49"/>
      <c r="O60" s="49"/>
    </row>
    <row r="61" ht="15.75" customHeight="1">
      <c r="A61" s="50"/>
      <c r="B61" s="50"/>
      <c r="C61" s="51"/>
      <c r="D61" s="51"/>
      <c r="E61" s="43"/>
      <c r="F61" s="43"/>
      <c r="G61" s="43"/>
      <c r="H61" s="43"/>
      <c r="I61" s="49"/>
      <c r="J61" s="43"/>
      <c r="K61" s="43"/>
      <c r="L61" s="52"/>
      <c r="M61" s="53"/>
      <c r="N61" s="49"/>
      <c r="O61" s="49"/>
    </row>
    <row r="62" ht="15.75" customHeight="1">
      <c r="A62" s="50"/>
      <c r="B62" s="50"/>
      <c r="C62" s="51"/>
      <c r="D62" s="51"/>
      <c r="E62" s="43"/>
      <c r="F62" s="43"/>
      <c r="G62" s="43"/>
      <c r="H62" s="43"/>
      <c r="I62" s="49"/>
      <c r="J62" s="43"/>
      <c r="K62" s="43"/>
      <c r="L62" s="52"/>
      <c r="M62" s="53"/>
      <c r="N62" s="49"/>
      <c r="O62" s="49"/>
    </row>
    <row r="63" ht="15.75" customHeight="1">
      <c r="A63" s="50"/>
      <c r="B63" s="50"/>
      <c r="C63" s="51"/>
      <c r="D63" s="51"/>
      <c r="E63" s="43"/>
      <c r="F63" s="43"/>
      <c r="G63" s="43"/>
      <c r="H63" s="43"/>
      <c r="I63" s="49"/>
      <c r="J63" s="43"/>
      <c r="K63" s="43"/>
      <c r="L63" s="52"/>
      <c r="M63" s="53"/>
      <c r="N63" s="49"/>
      <c r="O63" s="49"/>
    </row>
    <row r="64" ht="15.75" customHeight="1">
      <c r="A64" s="50"/>
      <c r="B64" s="50"/>
      <c r="C64" s="51"/>
      <c r="D64" s="51"/>
      <c r="E64" s="43"/>
      <c r="F64" s="43"/>
      <c r="G64" s="43"/>
      <c r="H64" s="43"/>
      <c r="I64" s="49"/>
      <c r="J64" s="43"/>
      <c r="K64" s="43"/>
      <c r="L64" s="52"/>
      <c r="M64" s="53"/>
      <c r="N64" s="49"/>
      <c r="O64" s="49"/>
    </row>
    <row r="65" ht="15.75" customHeight="1">
      <c r="A65" s="50"/>
      <c r="B65" s="50"/>
      <c r="C65" s="51"/>
      <c r="D65" s="51"/>
      <c r="E65" s="43"/>
      <c r="F65" s="43"/>
      <c r="G65" s="43"/>
      <c r="H65" s="43"/>
      <c r="I65" s="49"/>
      <c r="J65" s="43"/>
      <c r="K65" s="43"/>
      <c r="L65" s="52"/>
      <c r="M65" s="53"/>
      <c r="N65" s="49"/>
      <c r="O65" s="49"/>
    </row>
    <row r="66" ht="15.75" customHeight="1">
      <c r="A66" s="50"/>
      <c r="B66" s="50"/>
      <c r="C66" s="51"/>
      <c r="D66" s="51"/>
      <c r="E66" s="43"/>
      <c r="F66" s="43"/>
      <c r="G66" s="43"/>
      <c r="H66" s="43"/>
      <c r="I66" s="49"/>
      <c r="J66" s="43"/>
      <c r="K66" s="43"/>
      <c r="L66" s="52"/>
      <c r="M66" s="53"/>
      <c r="N66" s="49"/>
      <c r="O66" s="49"/>
    </row>
    <row r="67" ht="15.75" customHeight="1">
      <c r="A67" s="50"/>
      <c r="B67" s="50"/>
      <c r="C67" s="51"/>
      <c r="D67" s="51"/>
      <c r="E67" s="43"/>
      <c r="F67" s="43"/>
      <c r="G67" s="43"/>
      <c r="H67" s="43"/>
      <c r="I67" s="49"/>
      <c r="J67" s="43"/>
      <c r="K67" s="43"/>
      <c r="L67" s="52"/>
      <c r="M67" s="53"/>
      <c r="N67" s="49"/>
      <c r="O67" s="49"/>
    </row>
    <row r="68" ht="15.75" customHeight="1">
      <c r="A68" s="50"/>
      <c r="B68" s="50"/>
      <c r="C68" s="51"/>
      <c r="D68" s="51"/>
      <c r="E68" s="43"/>
      <c r="F68" s="43"/>
      <c r="G68" s="43"/>
      <c r="H68" s="43"/>
      <c r="I68" s="49"/>
      <c r="J68" s="43"/>
      <c r="K68" s="43"/>
      <c r="L68" s="52"/>
      <c r="M68" s="53"/>
      <c r="N68" s="49"/>
      <c r="O68" s="49"/>
    </row>
    <row r="69" ht="15.75" customHeight="1">
      <c r="A69" s="50"/>
      <c r="B69" s="50"/>
      <c r="C69" s="51"/>
      <c r="D69" s="51"/>
      <c r="E69" s="43"/>
      <c r="F69" s="43"/>
      <c r="G69" s="43"/>
      <c r="H69" s="43"/>
      <c r="I69" s="49"/>
      <c r="J69" s="43"/>
      <c r="K69" s="43"/>
      <c r="L69" s="52"/>
      <c r="M69" s="53"/>
      <c r="N69" s="49"/>
      <c r="O69" s="49"/>
    </row>
    <row r="70" ht="15.75" customHeight="1">
      <c r="A70" s="50"/>
      <c r="B70" s="50"/>
      <c r="C70" s="51"/>
      <c r="D70" s="51"/>
      <c r="E70" s="43"/>
      <c r="F70" s="43"/>
      <c r="G70" s="43"/>
      <c r="H70" s="43"/>
      <c r="I70" s="49"/>
      <c r="J70" s="43"/>
      <c r="K70" s="43"/>
      <c r="L70" s="52"/>
      <c r="M70" s="53"/>
      <c r="N70" s="49"/>
      <c r="O70" s="49"/>
    </row>
    <row r="71" ht="15.75" customHeight="1">
      <c r="A71" s="50"/>
      <c r="B71" s="50"/>
      <c r="C71" s="51"/>
      <c r="D71" s="51"/>
      <c r="E71" s="43"/>
      <c r="F71" s="43"/>
      <c r="G71" s="43"/>
      <c r="H71" s="43"/>
      <c r="I71" s="49"/>
      <c r="J71" s="43"/>
      <c r="K71" s="43"/>
      <c r="L71" s="52"/>
      <c r="M71" s="53"/>
      <c r="N71" s="49"/>
      <c r="O71" s="49"/>
    </row>
    <row r="72" ht="15.75" customHeight="1">
      <c r="A72" s="50"/>
      <c r="B72" s="50"/>
      <c r="C72" s="51"/>
      <c r="D72" s="51"/>
      <c r="E72" s="43"/>
      <c r="F72" s="43"/>
      <c r="G72" s="43"/>
      <c r="H72" s="43"/>
      <c r="I72" s="49"/>
      <c r="J72" s="43"/>
      <c r="K72" s="43"/>
      <c r="L72" s="52"/>
      <c r="M72" s="53"/>
      <c r="N72" s="49"/>
      <c r="O72" s="49"/>
    </row>
    <row r="73" ht="15.75" customHeight="1">
      <c r="A73" s="50"/>
      <c r="B73" s="50"/>
      <c r="C73" s="51"/>
      <c r="D73" s="51"/>
      <c r="E73" s="43"/>
      <c r="F73" s="43"/>
      <c r="G73" s="43"/>
      <c r="H73" s="43"/>
      <c r="I73" s="49"/>
      <c r="J73" s="43"/>
      <c r="K73" s="43"/>
      <c r="L73" s="52"/>
      <c r="M73" s="53"/>
      <c r="N73" s="49"/>
      <c r="O73" s="49"/>
    </row>
    <row r="74" ht="15.75" customHeight="1">
      <c r="A74" s="50"/>
      <c r="B74" s="50"/>
      <c r="C74" s="51"/>
      <c r="D74" s="51"/>
      <c r="E74" s="43"/>
      <c r="F74" s="43"/>
      <c r="G74" s="43"/>
      <c r="H74" s="43"/>
      <c r="I74" s="49"/>
      <c r="J74" s="43"/>
      <c r="K74" s="43"/>
      <c r="L74" s="52"/>
      <c r="M74" s="53"/>
      <c r="N74" s="49"/>
      <c r="O74" s="49"/>
    </row>
    <row r="75" ht="15.75" customHeight="1">
      <c r="A75" s="50"/>
      <c r="B75" s="50"/>
      <c r="C75" s="51"/>
      <c r="D75" s="51"/>
      <c r="E75" s="43"/>
      <c r="F75" s="43"/>
      <c r="G75" s="43"/>
      <c r="H75" s="43"/>
      <c r="I75" s="49"/>
      <c r="J75" s="43"/>
      <c r="K75" s="43"/>
      <c r="L75" s="52"/>
      <c r="M75" s="53"/>
      <c r="N75" s="49"/>
      <c r="O75" s="49"/>
    </row>
    <row r="76" ht="15.75" customHeight="1">
      <c r="A76" s="50"/>
      <c r="B76" s="50"/>
      <c r="C76" s="51"/>
      <c r="D76" s="51"/>
      <c r="E76" s="43"/>
      <c r="F76" s="43"/>
      <c r="G76" s="43"/>
      <c r="H76" s="43"/>
      <c r="I76" s="49"/>
      <c r="J76" s="43"/>
      <c r="K76" s="43"/>
      <c r="L76" s="52"/>
      <c r="M76" s="53"/>
      <c r="N76" s="49"/>
      <c r="O76" s="49"/>
    </row>
    <row r="77" ht="15.75" customHeight="1">
      <c r="A77" s="50"/>
      <c r="B77" s="50"/>
      <c r="C77" s="51"/>
      <c r="D77" s="51"/>
      <c r="E77" s="43"/>
      <c r="F77" s="43"/>
      <c r="G77" s="43"/>
      <c r="H77" s="43"/>
      <c r="I77" s="49"/>
      <c r="J77" s="43"/>
      <c r="K77" s="43"/>
      <c r="L77" s="52"/>
      <c r="M77" s="53"/>
      <c r="N77" s="49"/>
      <c r="O77" s="49"/>
    </row>
    <row r="78" ht="15.75" customHeight="1">
      <c r="A78" s="50"/>
      <c r="B78" s="50"/>
      <c r="C78" s="51"/>
      <c r="D78" s="51"/>
      <c r="E78" s="43"/>
      <c r="F78" s="43"/>
      <c r="G78" s="43"/>
      <c r="H78" s="43"/>
      <c r="I78" s="49"/>
      <c r="J78" s="43"/>
      <c r="K78" s="43"/>
      <c r="L78" s="52"/>
      <c r="M78" s="53"/>
      <c r="N78" s="49"/>
      <c r="O78" s="49"/>
    </row>
    <row r="79" ht="15.75" customHeight="1">
      <c r="A79" s="50"/>
      <c r="B79" s="50"/>
      <c r="C79" s="51"/>
      <c r="D79" s="51"/>
      <c r="E79" s="43"/>
      <c r="F79" s="43"/>
      <c r="G79" s="43"/>
      <c r="H79" s="43"/>
      <c r="I79" s="49"/>
      <c r="J79" s="43"/>
      <c r="K79" s="43"/>
      <c r="L79" s="52"/>
      <c r="M79" s="53"/>
      <c r="N79" s="49"/>
      <c r="O79" s="49"/>
    </row>
    <row r="80" ht="15.75" customHeight="1">
      <c r="A80" s="50"/>
      <c r="B80" s="50"/>
      <c r="C80" s="51"/>
      <c r="D80" s="51"/>
      <c r="E80" s="43"/>
      <c r="F80" s="43"/>
      <c r="G80" s="43"/>
      <c r="H80" s="43"/>
      <c r="I80" s="49"/>
      <c r="J80" s="43"/>
      <c r="K80" s="43"/>
      <c r="L80" s="52"/>
      <c r="M80" s="53"/>
      <c r="N80" s="49"/>
      <c r="O80" s="49"/>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M1"/>
  </mergeCells>
  <conditionalFormatting sqref="J14:J43">
    <cfRule type="cellIs" dxfId="3" priority="1" operator="greaterThan">
      <formula>0</formula>
    </cfRule>
  </conditionalFormatting>
  <conditionalFormatting sqref="J14:J80">
    <cfRule type="expression" dxfId="1" priority="2">
      <formula>J14&gt;0</formula>
    </cfRule>
  </conditionalFormatting>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25.0"/>
    <col customWidth="1" min="3" max="4" width="9.0"/>
    <col customWidth="1" min="5" max="7" width="16.0"/>
    <col customWidth="1" min="8" max="10" width="13.0"/>
    <col customWidth="1" min="11" max="11" width="16.0"/>
    <col customWidth="1" min="12" max="12" width="13.0"/>
    <col customWidth="1" min="13" max="13" width="32.0"/>
    <col customWidth="1" min="14" max="15" width="16.0"/>
  </cols>
  <sheetData>
    <row r="1" ht="30.0" customHeight="1">
      <c r="A1" s="1" t="s">
        <v>114</v>
      </c>
      <c r="N1" s="2"/>
      <c r="O1" s="2"/>
    </row>
    <row r="2">
      <c r="A2" s="3"/>
      <c r="B2" s="3"/>
      <c r="C2" s="3"/>
      <c r="D2" s="3"/>
      <c r="E2" s="3"/>
      <c r="F2" s="3"/>
      <c r="G2" s="3"/>
      <c r="H2" s="3"/>
      <c r="I2" s="3"/>
      <c r="J2" s="3"/>
      <c r="K2" s="3"/>
      <c r="L2" s="3"/>
      <c r="M2" s="3"/>
      <c r="N2" s="3"/>
      <c r="O2" s="3"/>
    </row>
    <row r="3">
      <c r="A3" s="4" t="s">
        <v>95</v>
      </c>
      <c r="B3" s="4" t="s">
        <v>6</v>
      </c>
      <c r="C3" s="3"/>
      <c r="D3" s="4" t="s">
        <v>96</v>
      </c>
      <c r="E3" s="4" t="s">
        <v>6</v>
      </c>
      <c r="F3" s="3"/>
      <c r="G3" s="3"/>
      <c r="H3" s="3"/>
      <c r="I3" s="3"/>
      <c r="J3" s="3"/>
      <c r="K3" s="3"/>
      <c r="L3" s="3"/>
      <c r="M3" s="3"/>
      <c r="N3" s="3"/>
      <c r="O3" s="3"/>
    </row>
    <row r="4">
      <c r="A4" s="38" t="s">
        <v>10</v>
      </c>
      <c r="B4" s="39" t="str">
        <f>IF(DANH_MUC_LOP!B6="","",DANH_MUC_LOP!B6)</f>
        <v>L08</v>
      </c>
      <c r="C4" s="3"/>
      <c r="D4" s="40" t="s">
        <v>97</v>
      </c>
      <c r="E4" s="41">
        <f>SUM(J14:J43)</f>
        <v>0</v>
      </c>
      <c r="F4" s="3"/>
      <c r="G4" s="3"/>
      <c r="H4" s="3"/>
      <c r="I4" s="3"/>
      <c r="J4" s="3"/>
      <c r="K4" s="3"/>
      <c r="L4" s="3"/>
      <c r="M4" s="3"/>
      <c r="N4" s="3"/>
      <c r="O4" s="3"/>
    </row>
    <row r="5">
      <c r="A5" s="38" t="s">
        <v>19</v>
      </c>
      <c r="B5" s="39" t="str">
        <f>IF(DANH_MUC_LOP!C6="","",DANH_MUC_LOP!C6)</f>
        <v>Toán 8 Thầy Cường</v>
      </c>
      <c r="C5" s="3"/>
      <c r="D5" s="40" t="s">
        <v>65</v>
      </c>
      <c r="E5" s="41">
        <f>SUM(K14:K43)</f>
        <v>0</v>
      </c>
      <c r="F5" s="3"/>
      <c r="G5" s="3"/>
      <c r="H5" s="3"/>
      <c r="I5" s="3"/>
      <c r="J5" s="3"/>
      <c r="K5" s="3"/>
      <c r="L5" s="3"/>
      <c r="M5" s="3"/>
      <c r="N5" s="3"/>
      <c r="O5" s="3"/>
    </row>
    <row r="6">
      <c r="A6" s="38" t="s">
        <v>98</v>
      </c>
      <c r="B6" s="39">
        <f>IFERROR(IF(DANH_MUC_LOP!R6&gt;0,DANH_MUC_LOP!R6,LOP_03!$B$16),0)</f>
        <v>9</v>
      </c>
      <c r="C6" s="3"/>
      <c r="D6" s="40" t="s">
        <v>99</v>
      </c>
      <c r="E6" s="41">
        <f>IF(B4="",0,SUMIF(THUONG_HOC_SINH!$A$4:$A$83,B4,THUONG_HOC_SINH!$D$4:$D$83))</f>
        <v>0</v>
      </c>
      <c r="F6" s="3"/>
      <c r="G6" s="3"/>
      <c r="H6" s="3"/>
      <c r="I6" s="3"/>
      <c r="J6" s="3"/>
      <c r="K6" s="3"/>
      <c r="L6" s="3"/>
      <c r="M6" s="3"/>
      <c r="N6" s="3"/>
      <c r="O6" s="3"/>
    </row>
    <row r="7">
      <c r="A7" s="38" t="s">
        <v>23</v>
      </c>
      <c r="B7" s="41">
        <f>IF(DANH_MUC_LOP!B6="","",DANH_MUC_LOP!F6)</f>
        <v>50000</v>
      </c>
      <c r="C7" s="3"/>
      <c r="D7" s="42"/>
      <c r="E7" s="43"/>
      <c r="F7" s="3"/>
      <c r="G7" s="3"/>
      <c r="H7" s="3"/>
      <c r="I7" s="3"/>
      <c r="J7" s="3"/>
      <c r="K7" s="3"/>
      <c r="L7" s="3"/>
      <c r="M7" s="3"/>
      <c r="N7" s="3"/>
      <c r="O7" s="3"/>
    </row>
    <row r="8">
      <c r="A8" s="38" t="s">
        <v>31</v>
      </c>
      <c r="B8" s="39" t="str">
        <f>IF(DANH_MUC_LOP!B6="","",DANH_MUC_LOP!N6)</f>
        <v>Theo buổi</v>
      </c>
      <c r="C8" s="3"/>
      <c r="D8" s="42"/>
      <c r="E8" s="43"/>
      <c r="F8" s="3"/>
      <c r="G8" s="3"/>
      <c r="H8" s="3"/>
      <c r="I8" s="3"/>
      <c r="J8" s="3"/>
      <c r="K8" s="3"/>
      <c r="L8" s="3"/>
      <c r="M8" s="3"/>
      <c r="N8" s="3"/>
      <c r="O8" s="3"/>
    </row>
    <row r="9">
      <c r="A9" s="38" t="s">
        <v>100</v>
      </c>
      <c r="B9" s="39">
        <f>COUNTIF(A14:A43,"?*")</f>
        <v>7</v>
      </c>
      <c r="C9" s="3"/>
      <c r="D9" s="42"/>
      <c r="E9" s="43"/>
      <c r="F9" s="3"/>
      <c r="G9" s="3"/>
      <c r="H9" s="3"/>
      <c r="I9" s="3"/>
      <c r="J9" s="3"/>
      <c r="K9" s="3"/>
      <c r="L9" s="3"/>
      <c r="M9" s="3"/>
      <c r="N9" s="3"/>
      <c r="O9" s="3"/>
    </row>
    <row r="10">
      <c r="A10" s="38" t="s">
        <v>101</v>
      </c>
      <c r="B10" s="41">
        <f>SUM(H14:H43)</f>
        <v>2000000</v>
      </c>
      <c r="C10" s="3"/>
      <c r="D10" s="42"/>
      <c r="E10" s="43"/>
      <c r="F10" s="3"/>
      <c r="G10" s="3"/>
      <c r="H10" s="3"/>
      <c r="I10" s="3"/>
      <c r="J10" s="3"/>
      <c r="K10" s="3"/>
      <c r="L10" s="3"/>
      <c r="M10" s="3"/>
      <c r="N10" s="3"/>
      <c r="O10" s="3"/>
    </row>
    <row r="11">
      <c r="A11" s="38" t="s">
        <v>102</v>
      </c>
      <c r="B11" s="41">
        <f>SUM(I14:I43)</f>
        <v>2000000</v>
      </c>
      <c r="C11" s="3"/>
      <c r="D11" s="42"/>
      <c r="E11" s="43"/>
      <c r="F11" s="3"/>
      <c r="G11" s="3"/>
      <c r="H11" s="3"/>
      <c r="I11" s="3"/>
      <c r="J11" s="3"/>
      <c r="K11" s="3"/>
      <c r="L11" s="3"/>
      <c r="M11" s="3"/>
      <c r="N11" s="3"/>
      <c r="O11" s="3"/>
    </row>
    <row r="12">
      <c r="A12" s="3"/>
      <c r="B12" s="3"/>
      <c r="C12" s="3"/>
      <c r="D12" s="3"/>
      <c r="E12" s="3"/>
      <c r="F12" s="3"/>
      <c r="G12" s="3"/>
      <c r="H12" s="3"/>
      <c r="I12" s="3"/>
      <c r="J12" s="3"/>
      <c r="K12" s="3"/>
      <c r="L12" s="3"/>
      <c r="M12" s="44" t="s">
        <v>115</v>
      </c>
      <c r="N12" s="3"/>
      <c r="O12" s="3"/>
    </row>
    <row r="13" ht="27.75" customHeight="1">
      <c r="A13" s="5" t="s">
        <v>14</v>
      </c>
      <c r="B13" s="5" t="s">
        <v>16</v>
      </c>
      <c r="C13" s="5" t="s">
        <v>104</v>
      </c>
      <c r="D13" s="5" t="s">
        <v>105</v>
      </c>
      <c r="E13" s="5" t="s">
        <v>106</v>
      </c>
      <c r="F13" s="5" t="s">
        <v>107</v>
      </c>
      <c r="G13" s="5" t="s">
        <v>64</v>
      </c>
      <c r="H13" s="5" t="s">
        <v>108</v>
      </c>
      <c r="I13" s="5" t="s">
        <v>102</v>
      </c>
      <c r="J13" s="5" t="s">
        <v>97</v>
      </c>
      <c r="K13" s="5" t="s">
        <v>65</v>
      </c>
      <c r="L13" s="5" t="s">
        <v>109</v>
      </c>
      <c r="M13" s="5" t="s">
        <v>15</v>
      </c>
      <c r="N13" s="5" t="s">
        <v>110</v>
      </c>
      <c r="O13" s="5" t="s">
        <v>111</v>
      </c>
    </row>
    <row r="14">
      <c r="A14" s="45" t="str">
        <f t="shared" ref="A14:D14" si="1">IFERROR(#REF!,"")</f>
        <v/>
      </c>
      <c r="B14" s="45" t="str">
        <f t="shared" si="1"/>
        <v/>
      </c>
      <c r="C14" s="46" t="str">
        <f t="shared" si="1"/>
        <v/>
      </c>
      <c r="D14" s="46" t="str">
        <f t="shared" si="1"/>
        <v/>
      </c>
      <c r="E14" s="41" t="str">
        <f t="shared" ref="E14:E15" si="2">IF(A14="","",$B$7)</f>
        <v/>
      </c>
      <c r="F14" s="41" t="str">
        <f t="shared" ref="F14:F43" si="3">IF(A14="","",IF($B$8="Thu trước",$B$6*E14,C14*E14))</f>
        <v/>
      </c>
      <c r="G14" s="41" t="str">
        <f>IF(A14="","",SUMIFS(CHUYEN_THANG!$D$4:$D$403,CHUYEN_THANG!$A$4:$A$403,$B$4,CHUYEN_THANG!$B$4:$B$403,A14))</f>
        <v/>
      </c>
      <c r="H14" s="41" t="str">
        <f t="shared" ref="H14:H43" si="4">IF(A14="","",IF(O14&lt;&gt;"",MAX(0,O14),MAX(0,F14-G14+N14)))</f>
        <v/>
      </c>
      <c r="I14" s="11"/>
      <c r="J14" s="41" t="str">
        <f t="shared" ref="J14:J43" si="5">IF(A14="","",MAX(0,H14-I14))</f>
        <v/>
      </c>
      <c r="K14" s="41" t="str">
        <f t="shared" ref="K14:K43" si="6">IF(A14="","",IF($B$8="Thu trước",D14*E14,0))</f>
        <v/>
      </c>
      <c r="L14" s="48"/>
      <c r="M14" s="9"/>
      <c r="N14" s="49"/>
      <c r="O14" s="49"/>
    </row>
    <row r="15">
      <c r="A15" s="45" t="str">
        <f>IFERROR(LOP_03!$A$21,"")</f>
        <v>HS08-001</v>
      </c>
      <c r="B15" s="45" t="str">
        <f>IFERROR(LOP_03!$B$21,"")</f>
        <v>Minh Thư</v>
      </c>
      <c r="C15" s="46">
        <f>IFERROR(LOP_03!$AH$21,"")</f>
        <v>7</v>
      </c>
      <c r="D15" s="46">
        <f>IFERROR(LOP_03!$AI$21,"")</f>
        <v>0</v>
      </c>
      <c r="E15" s="41">
        <f t="shared" si="2"/>
        <v>50000</v>
      </c>
      <c r="F15" s="41">
        <f t="shared" si="3"/>
        <v>350000</v>
      </c>
      <c r="G15" s="41">
        <f>IF(A15="","",SUMIFS(CHUYEN_THANG!$D$4:$D$403,CHUYEN_THANG!$A$4:$A$403,$B$4,CHUYEN_THANG!$B$4:$B$403,A15))</f>
        <v>0</v>
      </c>
      <c r="H15" s="41">
        <f t="shared" si="4"/>
        <v>350000</v>
      </c>
      <c r="I15" s="11">
        <f t="shared" ref="I15:I21" si="7">H15</f>
        <v>350000</v>
      </c>
      <c r="J15" s="41">
        <f t="shared" si="5"/>
        <v>0</v>
      </c>
      <c r="K15" s="41">
        <f t="shared" si="6"/>
        <v>0</v>
      </c>
      <c r="L15" s="48"/>
      <c r="M15" s="9"/>
      <c r="N15" s="49"/>
      <c r="O15" s="49"/>
    </row>
    <row r="16">
      <c r="A16" s="45" t="str">
        <f>IFERROR(LOP_03!$A$22,"")</f>
        <v>HS08-002</v>
      </c>
      <c r="B16" s="45" t="str">
        <f>IFERROR(LOP_03!$B$22,"")</f>
        <v>Nguyễn Đình Phát</v>
      </c>
      <c r="C16" s="46">
        <f>IFERROR(LOP_03!$AH$22,"")</f>
        <v>7</v>
      </c>
      <c r="D16" s="46">
        <f>IFERROR(LOP_03!$AI$22,"")</f>
        <v>0</v>
      </c>
      <c r="E16" s="41">
        <f>IF(A16="","",$B$7)/2</f>
        <v>25000</v>
      </c>
      <c r="F16" s="41">
        <f t="shared" si="3"/>
        <v>175000</v>
      </c>
      <c r="G16" s="41">
        <f>IF(A16="","",SUMIFS(CHUYEN_THANG!$D$4:$D$403,CHUYEN_THANG!$A$4:$A$403,$B$4,CHUYEN_THANG!$B$4:$B$403,A16))</f>
        <v>0</v>
      </c>
      <c r="H16" s="41">
        <f t="shared" si="4"/>
        <v>175000</v>
      </c>
      <c r="I16" s="11">
        <f t="shared" si="7"/>
        <v>175000</v>
      </c>
      <c r="J16" s="41">
        <f t="shared" si="5"/>
        <v>0</v>
      </c>
      <c r="K16" s="41">
        <f t="shared" si="6"/>
        <v>0</v>
      </c>
      <c r="L16" s="48"/>
      <c r="M16" s="9"/>
      <c r="N16" s="49"/>
      <c r="O16" s="49"/>
    </row>
    <row r="17">
      <c r="A17" s="45" t="str">
        <f>IFERROR(LOP_03!$A$23,"")</f>
        <v>HS08-003</v>
      </c>
      <c r="B17" s="45" t="str">
        <f>IFERROR(LOP_03!$B$23,"")</f>
        <v>Đỗ Thị Mai Ngọc</v>
      </c>
      <c r="C17" s="46">
        <f>IFERROR(LOP_03!$AH$23,"")</f>
        <v>7</v>
      </c>
      <c r="D17" s="46">
        <f>IFERROR(LOP_03!$AI$23,"")</f>
        <v>0</v>
      </c>
      <c r="E17" s="41">
        <f t="shared" ref="E17:E18" si="8">IF(A17="","",$B$7)</f>
        <v>50000</v>
      </c>
      <c r="F17" s="41">
        <f t="shared" si="3"/>
        <v>350000</v>
      </c>
      <c r="G17" s="41">
        <f>IF(A17="","",SUMIFS(CHUYEN_THANG!$D$4:$D$403,CHUYEN_THANG!$A$4:$A$403,$B$4,CHUYEN_THANG!$B$4:$B$403,A17))</f>
        <v>0</v>
      </c>
      <c r="H17" s="41">
        <f t="shared" si="4"/>
        <v>350000</v>
      </c>
      <c r="I17" s="11">
        <f t="shared" si="7"/>
        <v>350000</v>
      </c>
      <c r="J17" s="41">
        <f t="shared" si="5"/>
        <v>0</v>
      </c>
      <c r="K17" s="41">
        <f t="shared" si="6"/>
        <v>0</v>
      </c>
      <c r="L17" s="48"/>
      <c r="M17" s="9"/>
      <c r="N17" s="49"/>
      <c r="O17" s="49"/>
    </row>
    <row r="18">
      <c r="A18" s="45" t="str">
        <f>IFERROR(LOP_03!$A$24,"")</f>
        <v>HS08-004</v>
      </c>
      <c r="B18" s="45" t="str">
        <f>IFERROR(LOP_03!$B$24,"")</f>
        <v>Bùi Hiền Nhi</v>
      </c>
      <c r="C18" s="46">
        <f>IFERROR(LOP_03!$AH$24,"")</f>
        <v>7</v>
      </c>
      <c r="D18" s="46">
        <f>IFERROR(LOP_03!$AI$24,"")</f>
        <v>0</v>
      </c>
      <c r="E18" s="41">
        <f t="shared" si="8"/>
        <v>50000</v>
      </c>
      <c r="F18" s="41">
        <f t="shared" si="3"/>
        <v>350000</v>
      </c>
      <c r="G18" s="41">
        <f>IF(A18="","",SUMIFS(CHUYEN_THANG!$D$4:$D$403,CHUYEN_THANG!$A$4:$A$403,$B$4,CHUYEN_THANG!$B$4:$B$403,A18))</f>
        <v>0</v>
      </c>
      <c r="H18" s="41">
        <f t="shared" si="4"/>
        <v>350000</v>
      </c>
      <c r="I18" s="11">
        <f t="shared" si="7"/>
        <v>350000</v>
      </c>
      <c r="J18" s="41">
        <f t="shared" si="5"/>
        <v>0</v>
      </c>
      <c r="K18" s="41">
        <f t="shared" si="6"/>
        <v>0</v>
      </c>
      <c r="L18" s="48"/>
      <c r="M18" s="9"/>
      <c r="N18" s="49"/>
      <c r="O18" s="49"/>
    </row>
    <row r="19">
      <c r="A19" s="45" t="str">
        <f>IFERROR(LOP_03!$A$25,"")</f>
        <v>HS08-005</v>
      </c>
      <c r="B19" s="45" t="str">
        <f>IFERROR(LOP_03!$B$25,"")</f>
        <v>Nguyễn Đặng Gia Hân</v>
      </c>
      <c r="C19" s="46">
        <f>IFERROR(LOP_03!$AH$25,"")</f>
        <v>7</v>
      </c>
      <c r="D19" s="46">
        <f>IFERROR(LOP_03!$AI$25,"")</f>
        <v>0</v>
      </c>
      <c r="E19" s="41">
        <f>IF(A19="","",$B$7)/2</f>
        <v>25000</v>
      </c>
      <c r="F19" s="41">
        <f t="shared" si="3"/>
        <v>175000</v>
      </c>
      <c r="G19" s="41">
        <f>IF(A19="","",SUMIFS(CHUYEN_THANG!$D$4:$D$403,CHUYEN_THANG!$A$4:$A$403,$B$4,CHUYEN_THANG!$B$4:$B$403,A19))</f>
        <v>0</v>
      </c>
      <c r="H19" s="41">
        <f t="shared" si="4"/>
        <v>175000</v>
      </c>
      <c r="I19" s="11">
        <f t="shared" si="7"/>
        <v>175000</v>
      </c>
      <c r="J19" s="41">
        <f t="shared" si="5"/>
        <v>0</v>
      </c>
      <c r="K19" s="41">
        <f t="shared" si="6"/>
        <v>0</v>
      </c>
      <c r="L19" s="48"/>
      <c r="M19" s="9"/>
      <c r="N19" s="49"/>
      <c r="O19" s="49"/>
    </row>
    <row r="20">
      <c r="A20" s="45" t="str">
        <f>IFERROR(LOP_03!$A$26,"")</f>
        <v>HS08-006</v>
      </c>
      <c r="B20" s="45" t="str">
        <f>IFERROR(LOP_03!$B$26,"")</f>
        <v>Đào Ngọc Khánh</v>
      </c>
      <c r="C20" s="46">
        <f>IFERROR(LOP_03!$AH$26,"")</f>
        <v>6</v>
      </c>
      <c r="D20" s="46">
        <f>IFERROR(LOP_03!$AI$26,"")</f>
        <v>1</v>
      </c>
      <c r="E20" s="41">
        <f t="shared" ref="E20:E43" si="9">IF(A20="","",$B$7)</f>
        <v>50000</v>
      </c>
      <c r="F20" s="41">
        <f t="shared" si="3"/>
        <v>300000</v>
      </c>
      <c r="G20" s="41">
        <f>IF(A20="","",SUMIFS(CHUYEN_THANG!$D$4:$D$403,CHUYEN_THANG!$A$4:$A$403,$B$4,CHUYEN_THANG!$B$4:$B$403,A20))</f>
        <v>0</v>
      </c>
      <c r="H20" s="41">
        <f t="shared" si="4"/>
        <v>300000</v>
      </c>
      <c r="I20" s="11">
        <f t="shared" si="7"/>
        <v>300000</v>
      </c>
      <c r="J20" s="41">
        <f t="shared" si="5"/>
        <v>0</v>
      </c>
      <c r="K20" s="41">
        <f t="shared" si="6"/>
        <v>0</v>
      </c>
      <c r="L20" s="48"/>
      <c r="M20" s="9"/>
      <c r="N20" s="49"/>
      <c r="O20" s="49"/>
    </row>
    <row r="21" ht="15.75" customHeight="1">
      <c r="A21" s="45" t="str">
        <f>IFERROR(LOP_03!$A$27,"")</f>
        <v>HS08-007</v>
      </c>
      <c r="B21" s="45" t="str">
        <f>IFERROR(LOP_03!$B$27,"")</f>
        <v>Nhân</v>
      </c>
      <c r="C21" s="46">
        <f>IFERROR(LOP_03!$AH$27,"")</f>
        <v>6</v>
      </c>
      <c r="D21" s="46">
        <f>IFERROR(LOP_03!$AI$27,"")</f>
        <v>1</v>
      </c>
      <c r="E21" s="41">
        <f t="shared" si="9"/>
        <v>50000</v>
      </c>
      <c r="F21" s="41">
        <f t="shared" si="3"/>
        <v>300000</v>
      </c>
      <c r="G21" s="41">
        <f>IF(A21="","",SUMIFS(CHUYEN_THANG!$D$4:$D$403,CHUYEN_THANG!$A$4:$A$403,$B$4,CHUYEN_THANG!$B$4:$B$403,A21))</f>
        <v>0</v>
      </c>
      <c r="H21" s="41">
        <f t="shared" si="4"/>
        <v>300000</v>
      </c>
      <c r="I21" s="11">
        <f t="shared" si="7"/>
        <v>300000</v>
      </c>
      <c r="J21" s="41">
        <f t="shared" si="5"/>
        <v>0</v>
      </c>
      <c r="K21" s="41">
        <f t="shared" si="6"/>
        <v>0</v>
      </c>
      <c r="L21" s="48"/>
      <c r="M21" s="9"/>
      <c r="N21" s="49"/>
      <c r="O21" s="49"/>
    </row>
    <row r="22" ht="15.75" customHeight="1">
      <c r="A22" s="45" t="str">
        <f>IFERROR(LOP_03!$A$28,"")</f>
        <v/>
      </c>
      <c r="B22" s="45" t="str">
        <f>IFERROR(LOP_03!$B$28,"")</f>
        <v/>
      </c>
      <c r="C22" s="46" t="str">
        <f>IFERROR(LOP_03!$AH$28,"")</f>
        <v/>
      </c>
      <c r="D22" s="46" t="str">
        <f>IFERROR(LOP_03!$AI$28,"")</f>
        <v/>
      </c>
      <c r="E22" s="41" t="str">
        <f t="shared" si="9"/>
        <v/>
      </c>
      <c r="F22" s="41" t="str">
        <f t="shared" si="3"/>
        <v/>
      </c>
      <c r="G22" s="41" t="str">
        <f>IF(A22="","",SUMIFS(CHUYEN_THANG!$D$4:$D$403,CHUYEN_THANG!$A$4:$A$403,$B$4,CHUYEN_THANG!$B$4:$B$403,A22))</f>
        <v/>
      </c>
      <c r="H22" s="41" t="str">
        <f t="shared" si="4"/>
        <v/>
      </c>
      <c r="I22" s="11"/>
      <c r="J22" s="41" t="str">
        <f t="shared" si="5"/>
        <v/>
      </c>
      <c r="K22" s="41" t="str">
        <f t="shared" si="6"/>
        <v/>
      </c>
      <c r="L22" s="48"/>
      <c r="M22" s="9"/>
      <c r="N22" s="49"/>
      <c r="O22" s="49"/>
    </row>
    <row r="23" ht="15.75" customHeight="1">
      <c r="A23" s="45" t="str">
        <f>IFERROR(LOP_03!$A$29,"")</f>
        <v/>
      </c>
      <c r="B23" s="45" t="str">
        <f>IFERROR(LOP_03!$B$29,"")</f>
        <v/>
      </c>
      <c r="C23" s="46" t="str">
        <f>IFERROR(LOP_03!$AH$29,"")</f>
        <v/>
      </c>
      <c r="D23" s="46" t="str">
        <f>IFERROR(LOP_03!$AI$29,"")</f>
        <v/>
      </c>
      <c r="E23" s="41" t="str">
        <f t="shared" si="9"/>
        <v/>
      </c>
      <c r="F23" s="41" t="str">
        <f t="shared" si="3"/>
        <v/>
      </c>
      <c r="G23" s="41" t="str">
        <f>IF(A23="","",SUMIFS(CHUYEN_THANG!$D$4:$D$403,CHUYEN_THANG!$A$4:$A$403,$B$4,CHUYEN_THANG!$B$4:$B$403,A23))</f>
        <v/>
      </c>
      <c r="H23" s="41" t="str">
        <f t="shared" si="4"/>
        <v/>
      </c>
      <c r="I23" s="11"/>
      <c r="J23" s="41" t="str">
        <f t="shared" si="5"/>
        <v/>
      </c>
      <c r="K23" s="41" t="str">
        <f t="shared" si="6"/>
        <v/>
      </c>
      <c r="L23" s="48"/>
      <c r="M23" s="9"/>
      <c r="N23" s="49"/>
      <c r="O23" s="49"/>
    </row>
    <row r="24" ht="15.75" customHeight="1">
      <c r="A24" s="45" t="str">
        <f>IFERROR(LOP_03!$A$30,"")</f>
        <v/>
      </c>
      <c r="B24" s="45" t="str">
        <f>IFERROR(LOP_03!$B$30,"")</f>
        <v/>
      </c>
      <c r="C24" s="46" t="str">
        <f>IFERROR(LOP_03!$AH$30,"")</f>
        <v/>
      </c>
      <c r="D24" s="46" t="str">
        <f>IFERROR(LOP_03!$AI$30,"")</f>
        <v/>
      </c>
      <c r="E24" s="41" t="str">
        <f t="shared" si="9"/>
        <v/>
      </c>
      <c r="F24" s="41" t="str">
        <f t="shared" si="3"/>
        <v/>
      </c>
      <c r="G24" s="41" t="str">
        <f>IF(A24="","",SUMIFS(CHUYEN_THANG!$D$4:$D$403,CHUYEN_THANG!$A$4:$A$403,$B$4,CHUYEN_THANG!$B$4:$B$403,A24))</f>
        <v/>
      </c>
      <c r="H24" s="41" t="str">
        <f t="shared" si="4"/>
        <v/>
      </c>
      <c r="I24" s="11"/>
      <c r="J24" s="41" t="str">
        <f t="shared" si="5"/>
        <v/>
      </c>
      <c r="K24" s="41" t="str">
        <f t="shared" si="6"/>
        <v/>
      </c>
      <c r="L24" s="48"/>
      <c r="M24" s="9"/>
      <c r="N24" s="49"/>
      <c r="O24" s="49"/>
    </row>
    <row r="25" ht="15.75" customHeight="1">
      <c r="A25" s="45" t="str">
        <f>IFERROR(LOP_03!$A$31,"")</f>
        <v/>
      </c>
      <c r="B25" s="45" t="str">
        <f>IFERROR(LOP_03!$B$31,"")</f>
        <v/>
      </c>
      <c r="C25" s="46" t="str">
        <f>IFERROR(LOP_03!$AH$31,"")</f>
        <v/>
      </c>
      <c r="D25" s="46" t="str">
        <f>IFERROR(LOP_03!$AI$31,"")</f>
        <v/>
      </c>
      <c r="E25" s="41" t="str">
        <f t="shared" si="9"/>
        <v/>
      </c>
      <c r="F25" s="41" t="str">
        <f t="shared" si="3"/>
        <v/>
      </c>
      <c r="G25" s="41" t="str">
        <f>IF(A25="","",SUMIFS(CHUYEN_THANG!$D$4:$D$403,CHUYEN_THANG!$A$4:$A$403,$B$4,CHUYEN_THANG!$B$4:$B$403,A25))</f>
        <v/>
      </c>
      <c r="H25" s="41" t="str">
        <f t="shared" si="4"/>
        <v/>
      </c>
      <c r="I25" s="11"/>
      <c r="J25" s="41" t="str">
        <f t="shared" si="5"/>
        <v/>
      </c>
      <c r="K25" s="41" t="str">
        <f t="shared" si="6"/>
        <v/>
      </c>
      <c r="L25" s="48"/>
      <c r="M25" s="9"/>
      <c r="N25" s="49"/>
      <c r="O25" s="49"/>
    </row>
    <row r="26" ht="15.75" customHeight="1">
      <c r="A26" s="45" t="str">
        <f>IFERROR(LOP_03!$A$32,"")</f>
        <v/>
      </c>
      <c r="B26" s="45" t="str">
        <f>IFERROR(LOP_03!$B$32,"")</f>
        <v/>
      </c>
      <c r="C26" s="46" t="str">
        <f>IFERROR(LOP_03!$AH$32,"")</f>
        <v/>
      </c>
      <c r="D26" s="46" t="str">
        <f>IFERROR(LOP_03!$AI$32,"")</f>
        <v/>
      </c>
      <c r="E26" s="41" t="str">
        <f t="shared" si="9"/>
        <v/>
      </c>
      <c r="F26" s="41" t="str">
        <f t="shared" si="3"/>
        <v/>
      </c>
      <c r="G26" s="41" t="str">
        <f>IF(A26="","",SUMIFS(CHUYEN_THANG!$D$4:$D$403,CHUYEN_THANG!$A$4:$A$403,$B$4,CHUYEN_THANG!$B$4:$B$403,A26))</f>
        <v/>
      </c>
      <c r="H26" s="41" t="str">
        <f t="shared" si="4"/>
        <v/>
      </c>
      <c r="I26" s="11"/>
      <c r="J26" s="41" t="str">
        <f t="shared" si="5"/>
        <v/>
      </c>
      <c r="K26" s="41" t="str">
        <f t="shared" si="6"/>
        <v/>
      </c>
      <c r="L26" s="48"/>
      <c r="M26" s="9"/>
      <c r="N26" s="49"/>
      <c r="O26" s="49"/>
    </row>
    <row r="27" ht="15.75" customHeight="1">
      <c r="A27" s="45" t="str">
        <f>IFERROR(LOP_03!$A$33,"")</f>
        <v/>
      </c>
      <c r="B27" s="45" t="str">
        <f>IFERROR(LOP_03!$B$33,"")</f>
        <v/>
      </c>
      <c r="C27" s="46" t="str">
        <f>IFERROR(LOP_03!$AH$33,"")</f>
        <v/>
      </c>
      <c r="D27" s="46" t="str">
        <f>IFERROR(LOP_03!$AI$33,"")</f>
        <v/>
      </c>
      <c r="E27" s="41" t="str">
        <f t="shared" si="9"/>
        <v/>
      </c>
      <c r="F27" s="41" t="str">
        <f t="shared" si="3"/>
        <v/>
      </c>
      <c r="G27" s="41" t="str">
        <f>IF(A27="","",SUMIFS(CHUYEN_THANG!$D$4:$D$403,CHUYEN_THANG!$A$4:$A$403,$B$4,CHUYEN_THANG!$B$4:$B$403,A27))</f>
        <v/>
      </c>
      <c r="H27" s="41" t="str">
        <f t="shared" si="4"/>
        <v/>
      </c>
      <c r="I27" s="11"/>
      <c r="J27" s="41" t="str">
        <f t="shared" si="5"/>
        <v/>
      </c>
      <c r="K27" s="41" t="str">
        <f t="shared" si="6"/>
        <v/>
      </c>
      <c r="L27" s="48"/>
      <c r="M27" s="9"/>
      <c r="N27" s="49"/>
      <c r="O27" s="49"/>
    </row>
    <row r="28" ht="15.75" customHeight="1">
      <c r="A28" s="45" t="str">
        <f>IFERROR(LOP_03!$A$34,"")</f>
        <v/>
      </c>
      <c r="B28" s="45" t="str">
        <f>IFERROR(LOP_03!$B$34,"")</f>
        <v/>
      </c>
      <c r="C28" s="46" t="str">
        <f>IFERROR(LOP_03!$AH$34,"")</f>
        <v/>
      </c>
      <c r="D28" s="46" t="str">
        <f>IFERROR(LOP_03!$AI$34,"")</f>
        <v/>
      </c>
      <c r="E28" s="41" t="str">
        <f t="shared" si="9"/>
        <v/>
      </c>
      <c r="F28" s="41" t="str">
        <f t="shared" si="3"/>
        <v/>
      </c>
      <c r="G28" s="41" t="str">
        <f>IF(A28="","",SUMIFS(CHUYEN_THANG!$D$4:$D$403,CHUYEN_THANG!$A$4:$A$403,$B$4,CHUYEN_THANG!$B$4:$B$403,A28))</f>
        <v/>
      </c>
      <c r="H28" s="41" t="str">
        <f t="shared" si="4"/>
        <v/>
      </c>
      <c r="I28" s="11"/>
      <c r="J28" s="41" t="str">
        <f t="shared" si="5"/>
        <v/>
      </c>
      <c r="K28" s="41" t="str">
        <f t="shared" si="6"/>
        <v/>
      </c>
      <c r="L28" s="48"/>
      <c r="M28" s="9"/>
      <c r="N28" s="49"/>
      <c r="O28" s="49"/>
    </row>
    <row r="29" ht="15.75" customHeight="1">
      <c r="A29" s="45" t="str">
        <f>IFERROR(LOP_03!$A$35,"")</f>
        <v/>
      </c>
      <c r="B29" s="45" t="str">
        <f>IFERROR(LOP_03!$B$35,"")</f>
        <v/>
      </c>
      <c r="C29" s="46" t="str">
        <f>IFERROR(LOP_03!$AH$35,"")</f>
        <v/>
      </c>
      <c r="D29" s="46" t="str">
        <f>IFERROR(LOP_03!$AI$35,"")</f>
        <v/>
      </c>
      <c r="E29" s="41" t="str">
        <f t="shared" si="9"/>
        <v/>
      </c>
      <c r="F29" s="41" t="str">
        <f t="shared" si="3"/>
        <v/>
      </c>
      <c r="G29" s="41" t="str">
        <f>IF(A29="","",SUMIFS(CHUYEN_THANG!$D$4:$D$403,CHUYEN_THANG!$A$4:$A$403,$B$4,CHUYEN_THANG!$B$4:$B$403,A29))</f>
        <v/>
      </c>
      <c r="H29" s="41" t="str">
        <f t="shared" si="4"/>
        <v/>
      </c>
      <c r="I29" s="11"/>
      <c r="J29" s="41" t="str">
        <f t="shared" si="5"/>
        <v/>
      </c>
      <c r="K29" s="41" t="str">
        <f t="shared" si="6"/>
        <v/>
      </c>
      <c r="L29" s="48"/>
      <c r="M29" s="9"/>
      <c r="N29" s="49"/>
      <c r="O29" s="49"/>
    </row>
    <row r="30" ht="15.75" customHeight="1">
      <c r="A30" s="45" t="str">
        <f>IFERROR(LOP_03!$A$36,"")</f>
        <v/>
      </c>
      <c r="B30" s="45" t="str">
        <f>IFERROR(LOP_03!$B$36,"")</f>
        <v/>
      </c>
      <c r="C30" s="46" t="str">
        <f>IFERROR(LOP_03!$AH$36,"")</f>
        <v/>
      </c>
      <c r="D30" s="46" t="str">
        <f>IFERROR(LOP_03!$AI$36,"")</f>
        <v/>
      </c>
      <c r="E30" s="41" t="str">
        <f t="shared" si="9"/>
        <v/>
      </c>
      <c r="F30" s="41" t="str">
        <f t="shared" si="3"/>
        <v/>
      </c>
      <c r="G30" s="41" t="str">
        <f>IF(A30="","",SUMIFS(CHUYEN_THANG!$D$4:$D$403,CHUYEN_THANG!$A$4:$A$403,$B$4,CHUYEN_THANG!$B$4:$B$403,A30))</f>
        <v/>
      </c>
      <c r="H30" s="41" t="str">
        <f t="shared" si="4"/>
        <v/>
      </c>
      <c r="I30" s="11"/>
      <c r="J30" s="41" t="str">
        <f t="shared" si="5"/>
        <v/>
      </c>
      <c r="K30" s="41" t="str">
        <f t="shared" si="6"/>
        <v/>
      </c>
      <c r="L30" s="48"/>
      <c r="M30" s="9"/>
      <c r="N30" s="49"/>
      <c r="O30" s="49"/>
    </row>
    <row r="31" ht="15.75" customHeight="1">
      <c r="A31" s="45" t="str">
        <f>IFERROR(LOP_03!$A$37,"")</f>
        <v/>
      </c>
      <c r="B31" s="45" t="str">
        <f>IFERROR(LOP_03!$B$37,"")</f>
        <v/>
      </c>
      <c r="C31" s="46" t="str">
        <f>IFERROR(LOP_03!$AH$37,"")</f>
        <v/>
      </c>
      <c r="D31" s="46" t="str">
        <f>IFERROR(LOP_03!$AI$37,"")</f>
        <v/>
      </c>
      <c r="E31" s="41" t="str">
        <f t="shared" si="9"/>
        <v/>
      </c>
      <c r="F31" s="41" t="str">
        <f t="shared" si="3"/>
        <v/>
      </c>
      <c r="G31" s="41" t="str">
        <f>IF(A31="","",SUMIFS(CHUYEN_THANG!$D$4:$D$403,CHUYEN_THANG!$A$4:$A$403,$B$4,CHUYEN_THANG!$B$4:$B$403,A31))</f>
        <v/>
      </c>
      <c r="H31" s="41" t="str">
        <f t="shared" si="4"/>
        <v/>
      </c>
      <c r="I31" s="11"/>
      <c r="J31" s="41" t="str">
        <f t="shared" si="5"/>
        <v/>
      </c>
      <c r="K31" s="41" t="str">
        <f t="shared" si="6"/>
        <v/>
      </c>
      <c r="L31" s="48"/>
      <c r="M31" s="9"/>
      <c r="N31" s="49"/>
      <c r="O31" s="49"/>
    </row>
    <row r="32" ht="15.75" customHeight="1">
      <c r="A32" s="45" t="str">
        <f>IFERROR(LOP_03!$A$38,"")</f>
        <v/>
      </c>
      <c r="B32" s="45" t="str">
        <f>IFERROR(LOP_03!$B$38,"")</f>
        <v/>
      </c>
      <c r="C32" s="46" t="str">
        <f>IFERROR(LOP_03!$AH$38,"")</f>
        <v/>
      </c>
      <c r="D32" s="46" t="str">
        <f>IFERROR(LOP_03!$AI$38,"")</f>
        <v/>
      </c>
      <c r="E32" s="41" t="str">
        <f t="shared" si="9"/>
        <v/>
      </c>
      <c r="F32" s="41" t="str">
        <f t="shared" si="3"/>
        <v/>
      </c>
      <c r="G32" s="41" t="str">
        <f>IF(A32="","",SUMIFS(CHUYEN_THANG!$D$4:$D$403,CHUYEN_THANG!$A$4:$A$403,$B$4,CHUYEN_THANG!$B$4:$B$403,A32))</f>
        <v/>
      </c>
      <c r="H32" s="41" t="str">
        <f t="shared" si="4"/>
        <v/>
      </c>
      <c r="I32" s="11"/>
      <c r="J32" s="41" t="str">
        <f t="shared" si="5"/>
        <v/>
      </c>
      <c r="K32" s="41" t="str">
        <f t="shared" si="6"/>
        <v/>
      </c>
      <c r="L32" s="48"/>
      <c r="M32" s="9"/>
      <c r="N32" s="49"/>
      <c r="O32" s="49"/>
    </row>
    <row r="33" ht="15.75" customHeight="1">
      <c r="A33" s="45" t="str">
        <f>IFERROR(LOP_03!$A$39,"")</f>
        <v/>
      </c>
      <c r="B33" s="45" t="str">
        <f>IFERROR(LOP_03!$B$39,"")</f>
        <v/>
      </c>
      <c r="C33" s="46" t="str">
        <f>IFERROR(LOP_03!$AH$39,"")</f>
        <v/>
      </c>
      <c r="D33" s="46" t="str">
        <f>IFERROR(LOP_03!$AI$39,"")</f>
        <v/>
      </c>
      <c r="E33" s="41" t="str">
        <f t="shared" si="9"/>
        <v/>
      </c>
      <c r="F33" s="41" t="str">
        <f t="shared" si="3"/>
        <v/>
      </c>
      <c r="G33" s="41" t="str">
        <f>IF(A33="","",SUMIFS(CHUYEN_THANG!$D$4:$D$403,CHUYEN_THANG!$A$4:$A$403,$B$4,CHUYEN_THANG!$B$4:$B$403,A33))</f>
        <v/>
      </c>
      <c r="H33" s="41" t="str">
        <f t="shared" si="4"/>
        <v/>
      </c>
      <c r="I33" s="11"/>
      <c r="J33" s="41" t="str">
        <f t="shared" si="5"/>
        <v/>
      </c>
      <c r="K33" s="41" t="str">
        <f t="shared" si="6"/>
        <v/>
      </c>
      <c r="L33" s="48"/>
      <c r="M33" s="9"/>
      <c r="N33" s="49"/>
      <c r="O33" s="49"/>
    </row>
    <row r="34" ht="15.75" customHeight="1">
      <c r="A34" s="45" t="str">
        <f>IFERROR(LOP_03!$A$40,"")</f>
        <v/>
      </c>
      <c r="B34" s="45" t="str">
        <f>IFERROR(LOP_03!$B$40,"")</f>
        <v/>
      </c>
      <c r="C34" s="46" t="str">
        <f>IFERROR(LOP_03!$AH$40,"")</f>
        <v/>
      </c>
      <c r="D34" s="46" t="str">
        <f>IFERROR(LOP_03!$AI$40,"")</f>
        <v/>
      </c>
      <c r="E34" s="41" t="str">
        <f t="shared" si="9"/>
        <v/>
      </c>
      <c r="F34" s="41" t="str">
        <f t="shared" si="3"/>
        <v/>
      </c>
      <c r="G34" s="41" t="str">
        <f>IF(A34="","",SUMIFS(CHUYEN_THANG!$D$4:$D$403,CHUYEN_THANG!$A$4:$A$403,$B$4,CHUYEN_THANG!$B$4:$B$403,A34))</f>
        <v/>
      </c>
      <c r="H34" s="41" t="str">
        <f t="shared" si="4"/>
        <v/>
      </c>
      <c r="I34" s="11"/>
      <c r="J34" s="41" t="str">
        <f t="shared" si="5"/>
        <v/>
      </c>
      <c r="K34" s="41" t="str">
        <f t="shared" si="6"/>
        <v/>
      </c>
      <c r="L34" s="48"/>
      <c r="M34" s="9"/>
      <c r="N34" s="49"/>
      <c r="O34" s="49"/>
    </row>
    <row r="35" ht="15.75" customHeight="1">
      <c r="A35" s="45" t="str">
        <f>IFERROR(LOP_03!$A$41,"")</f>
        <v/>
      </c>
      <c r="B35" s="45" t="str">
        <f>IFERROR(LOP_03!$B$41,"")</f>
        <v/>
      </c>
      <c r="C35" s="46" t="str">
        <f>IFERROR(LOP_03!$AH$41,"")</f>
        <v/>
      </c>
      <c r="D35" s="46" t="str">
        <f>IFERROR(LOP_03!$AI$41,"")</f>
        <v/>
      </c>
      <c r="E35" s="41" t="str">
        <f t="shared" si="9"/>
        <v/>
      </c>
      <c r="F35" s="41" t="str">
        <f t="shared" si="3"/>
        <v/>
      </c>
      <c r="G35" s="41" t="str">
        <f>IF(A35="","",SUMIFS(CHUYEN_THANG!$D$4:$D$403,CHUYEN_THANG!$A$4:$A$403,$B$4,CHUYEN_THANG!$B$4:$B$403,A35))</f>
        <v/>
      </c>
      <c r="H35" s="41" t="str">
        <f t="shared" si="4"/>
        <v/>
      </c>
      <c r="I35" s="11"/>
      <c r="J35" s="41" t="str">
        <f t="shared" si="5"/>
        <v/>
      </c>
      <c r="K35" s="41" t="str">
        <f t="shared" si="6"/>
        <v/>
      </c>
      <c r="L35" s="48"/>
      <c r="M35" s="9"/>
      <c r="N35" s="49"/>
      <c r="O35" s="49"/>
    </row>
    <row r="36" ht="15.75" customHeight="1">
      <c r="A36" s="45" t="str">
        <f>IFERROR(LOP_03!$A$42,"")</f>
        <v/>
      </c>
      <c r="B36" s="45" t="str">
        <f>IFERROR(LOP_03!$B$42,"")</f>
        <v/>
      </c>
      <c r="C36" s="46" t="str">
        <f>IFERROR(LOP_03!$AH$42,"")</f>
        <v/>
      </c>
      <c r="D36" s="46" t="str">
        <f>IFERROR(LOP_03!$AI$42,"")</f>
        <v/>
      </c>
      <c r="E36" s="41" t="str">
        <f t="shared" si="9"/>
        <v/>
      </c>
      <c r="F36" s="41" t="str">
        <f t="shared" si="3"/>
        <v/>
      </c>
      <c r="G36" s="41" t="str">
        <f>IF(A36="","",SUMIFS(CHUYEN_THANG!$D$4:$D$403,CHUYEN_THANG!$A$4:$A$403,$B$4,CHUYEN_THANG!$B$4:$B$403,A36))</f>
        <v/>
      </c>
      <c r="H36" s="41" t="str">
        <f t="shared" si="4"/>
        <v/>
      </c>
      <c r="I36" s="11"/>
      <c r="J36" s="41" t="str">
        <f t="shared" si="5"/>
        <v/>
      </c>
      <c r="K36" s="41" t="str">
        <f t="shared" si="6"/>
        <v/>
      </c>
      <c r="L36" s="48"/>
      <c r="M36" s="9"/>
      <c r="N36" s="49"/>
      <c r="O36" s="49"/>
    </row>
    <row r="37" ht="15.75" customHeight="1">
      <c r="A37" s="45" t="str">
        <f>IFERROR(LOP_03!$A$43,"")</f>
        <v/>
      </c>
      <c r="B37" s="45" t="str">
        <f>IFERROR(LOP_03!$B$43,"")</f>
        <v/>
      </c>
      <c r="C37" s="46" t="str">
        <f>IFERROR(LOP_03!$AH$43,"")</f>
        <v/>
      </c>
      <c r="D37" s="46" t="str">
        <f>IFERROR(LOP_03!$AI$43,"")</f>
        <v/>
      </c>
      <c r="E37" s="41" t="str">
        <f t="shared" si="9"/>
        <v/>
      </c>
      <c r="F37" s="41" t="str">
        <f t="shared" si="3"/>
        <v/>
      </c>
      <c r="G37" s="41" t="str">
        <f>IF(A37="","",SUMIFS(CHUYEN_THANG!$D$4:$D$403,CHUYEN_THANG!$A$4:$A$403,$B$4,CHUYEN_THANG!$B$4:$B$403,A37))</f>
        <v/>
      </c>
      <c r="H37" s="41" t="str">
        <f t="shared" si="4"/>
        <v/>
      </c>
      <c r="I37" s="11"/>
      <c r="J37" s="41" t="str">
        <f t="shared" si="5"/>
        <v/>
      </c>
      <c r="K37" s="41" t="str">
        <f t="shared" si="6"/>
        <v/>
      </c>
      <c r="L37" s="48"/>
      <c r="M37" s="9"/>
      <c r="N37" s="49"/>
      <c r="O37" s="49"/>
    </row>
    <row r="38" ht="15.75" customHeight="1">
      <c r="A38" s="45" t="str">
        <f>IFERROR(LOP_03!$A$44,"")</f>
        <v/>
      </c>
      <c r="B38" s="45" t="str">
        <f>IFERROR(LOP_03!$B$44,"")</f>
        <v/>
      </c>
      <c r="C38" s="46" t="str">
        <f>IFERROR(LOP_03!$AH$44,"")</f>
        <v/>
      </c>
      <c r="D38" s="46" t="str">
        <f>IFERROR(LOP_03!$AI$44,"")</f>
        <v/>
      </c>
      <c r="E38" s="41" t="str">
        <f t="shared" si="9"/>
        <v/>
      </c>
      <c r="F38" s="41" t="str">
        <f t="shared" si="3"/>
        <v/>
      </c>
      <c r="G38" s="41" t="str">
        <f>IF(A38="","",SUMIFS(CHUYEN_THANG!$D$4:$D$403,CHUYEN_THANG!$A$4:$A$403,$B$4,CHUYEN_THANG!$B$4:$B$403,A38))</f>
        <v/>
      </c>
      <c r="H38" s="41" t="str">
        <f t="shared" si="4"/>
        <v/>
      </c>
      <c r="I38" s="11"/>
      <c r="J38" s="41" t="str">
        <f t="shared" si="5"/>
        <v/>
      </c>
      <c r="K38" s="41" t="str">
        <f t="shared" si="6"/>
        <v/>
      </c>
      <c r="L38" s="48"/>
      <c r="M38" s="9"/>
      <c r="N38" s="49"/>
      <c r="O38" s="49"/>
    </row>
    <row r="39" ht="15.75" customHeight="1">
      <c r="A39" s="45" t="str">
        <f>IFERROR(LOP_03!$A$45,"")</f>
        <v/>
      </c>
      <c r="B39" s="45" t="str">
        <f>IFERROR(LOP_03!$B$45,"")</f>
        <v/>
      </c>
      <c r="C39" s="46" t="str">
        <f>IFERROR(LOP_03!$AH$45,"")</f>
        <v/>
      </c>
      <c r="D39" s="46" t="str">
        <f>IFERROR(LOP_03!$AI$45,"")</f>
        <v/>
      </c>
      <c r="E39" s="41" t="str">
        <f t="shared" si="9"/>
        <v/>
      </c>
      <c r="F39" s="41" t="str">
        <f t="shared" si="3"/>
        <v/>
      </c>
      <c r="G39" s="41" t="str">
        <f>IF(A39="","",SUMIFS(CHUYEN_THANG!$D$4:$D$403,CHUYEN_THANG!$A$4:$A$403,$B$4,CHUYEN_THANG!$B$4:$B$403,A39))</f>
        <v/>
      </c>
      <c r="H39" s="41" t="str">
        <f t="shared" si="4"/>
        <v/>
      </c>
      <c r="I39" s="11"/>
      <c r="J39" s="41" t="str">
        <f t="shared" si="5"/>
        <v/>
      </c>
      <c r="K39" s="41" t="str">
        <f t="shared" si="6"/>
        <v/>
      </c>
      <c r="L39" s="48"/>
      <c r="M39" s="9"/>
      <c r="N39" s="49"/>
      <c r="O39" s="49"/>
    </row>
    <row r="40" ht="15.75" customHeight="1">
      <c r="A40" s="45" t="str">
        <f>IFERROR(LOP_03!$A$46,"")</f>
        <v/>
      </c>
      <c r="B40" s="45" t="str">
        <f>IFERROR(LOP_03!$B$46,"")</f>
        <v/>
      </c>
      <c r="C40" s="46" t="str">
        <f>IFERROR(LOP_03!$AH$46,"")</f>
        <v/>
      </c>
      <c r="D40" s="46" t="str">
        <f>IFERROR(LOP_03!$AI$46,"")</f>
        <v/>
      </c>
      <c r="E40" s="41" t="str">
        <f t="shared" si="9"/>
        <v/>
      </c>
      <c r="F40" s="41" t="str">
        <f t="shared" si="3"/>
        <v/>
      </c>
      <c r="G40" s="41" t="str">
        <f>IF(A40="","",SUMIFS(CHUYEN_THANG!$D$4:$D$403,CHUYEN_THANG!$A$4:$A$403,$B$4,CHUYEN_THANG!$B$4:$B$403,A40))</f>
        <v/>
      </c>
      <c r="H40" s="41" t="str">
        <f t="shared" si="4"/>
        <v/>
      </c>
      <c r="I40" s="11"/>
      <c r="J40" s="41" t="str">
        <f t="shared" si="5"/>
        <v/>
      </c>
      <c r="K40" s="41" t="str">
        <f t="shared" si="6"/>
        <v/>
      </c>
      <c r="L40" s="48"/>
      <c r="M40" s="9"/>
      <c r="N40" s="49"/>
      <c r="O40" s="49"/>
    </row>
    <row r="41" ht="15.75" customHeight="1">
      <c r="A41" s="45" t="str">
        <f>IFERROR(LOP_03!$A$47,"")</f>
        <v/>
      </c>
      <c r="B41" s="45" t="str">
        <f>IFERROR(LOP_03!$B$47,"")</f>
        <v/>
      </c>
      <c r="C41" s="46" t="str">
        <f>IFERROR(LOP_03!$AH$47,"")</f>
        <v/>
      </c>
      <c r="D41" s="46" t="str">
        <f>IFERROR(LOP_03!$AI$47,"")</f>
        <v/>
      </c>
      <c r="E41" s="41" t="str">
        <f t="shared" si="9"/>
        <v/>
      </c>
      <c r="F41" s="41" t="str">
        <f t="shared" si="3"/>
        <v/>
      </c>
      <c r="G41" s="41" t="str">
        <f>IF(A41="","",SUMIFS(CHUYEN_THANG!$D$4:$D$403,CHUYEN_THANG!$A$4:$A$403,$B$4,CHUYEN_THANG!$B$4:$B$403,A41))</f>
        <v/>
      </c>
      <c r="H41" s="41" t="str">
        <f t="shared" si="4"/>
        <v/>
      </c>
      <c r="I41" s="11"/>
      <c r="J41" s="41" t="str">
        <f t="shared" si="5"/>
        <v/>
      </c>
      <c r="K41" s="41" t="str">
        <f t="shared" si="6"/>
        <v/>
      </c>
      <c r="L41" s="48"/>
      <c r="M41" s="9"/>
      <c r="N41" s="49"/>
      <c r="O41" s="49"/>
    </row>
    <row r="42" ht="15.75" customHeight="1">
      <c r="A42" s="45" t="str">
        <f>IFERROR(LOP_03!$A$48,"")</f>
        <v/>
      </c>
      <c r="B42" s="45" t="str">
        <f>IFERROR(LOP_03!$B$48,"")</f>
        <v/>
      </c>
      <c r="C42" s="46" t="str">
        <f>IFERROR(LOP_03!$AH$48,"")</f>
        <v/>
      </c>
      <c r="D42" s="46" t="str">
        <f>IFERROR(LOP_03!$AI$48,"")</f>
        <v/>
      </c>
      <c r="E42" s="41" t="str">
        <f t="shared" si="9"/>
        <v/>
      </c>
      <c r="F42" s="41" t="str">
        <f t="shared" si="3"/>
        <v/>
      </c>
      <c r="G42" s="41" t="str">
        <f>IF(A42="","",SUMIFS(CHUYEN_THANG!$D$4:$D$403,CHUYEN_THANG!$A$4:$A$403,$B$4,CHUYEN_THANG!$B$4:$B$403,A42))</f>
        <v/>
      </c>
      <c r="H42" s="41" t="str">
        <f t="shared" si="4"/>
        <v/>
      </c>
      <c r="I42" s="11"/>
      <c r="J42" s="41" t="str">
        <f t="shared" si="5"/>
        <v/>
      </c>
      <c r="K42" s="41" t="str">
        <f t="shared" si="6"/>
        <v/>
      </c>
      <c r="L42" s="48"/>
      <c r="M42" s="9"/>
      <c r="N42" s="49"/>
      <c r="O42" s="49"/>
    </row>
    <row r="43" ht="15.75" customHeight="1">
      <c r="A43" s="45" t="str">
        <f>IFERROR(LOP_03!$A$49,"")</f>
        <v/>
      </c>
      <c r="B43" s="45" t="str">
        <f>IFERROR(LOP_03!$B$49,"")</f>
        <v/>
      </c>
      <c r="C43" s="46" t="str">
        <f>IFERROR(LOP_03!$AH$49,"")</f>
        <v/>
      </c>
      <c r="D43" s="46" t="str">
        <f>IFERROR(LOP_03!$AI$49,"")</f>
        <v/>
      </c>
      <c r="E43" s="41" t="str">
        <f t="shared" si="9"/>
        <v/>
      </c>
      <c r="F43" s="41" t="str">
        <f t="shared" si="3"/>
        <v/>
      </c>
      <c r="G43" s="41" t="str">
        <f>IF(A43="","",SUMIFS(CHUYEN_THANG!$D$4:$D$403,CHUYEN_THANG!$A$4:$A$403,$B$4,CHUYEN_THANG!$B$4:$B$403,A43))</f>
        <v/>
      </c>
      <c r="H43" s="41" t="str">
        <f t="shared" si="4"/>
        <v/>
      </c>
      <c r="I43" s="11"/>
      <c r="J43" s="41" t="str">
        <f t="shared" si="5"/>
        <v/>
      </c>
      <c r="K43" s="41" t="str">
        <f t="shared" si="6"/>
        <v/>
      </c>
      <c r="L43" s="48"/>
      <c r="M43" s="9"/>
      <c r="N43" s="49"/>
      <c r="O43" s="49"/>
    </row>
    <row r="44" ht="15.75" customHeight="1">
      <c r="A44" s="50"/>
      <c r="B44" s="50"/>
      <c r="C44" s="51"/>
      <c r="D44" s="51"/>
      <c r="E44" s="43"/>
      <c r="F44" s="43"/>
      <c r="G44" s="43"/>
      <c r="H44" s="43"/>
      <c r="I44" s="49"/>
      <c r="J44" s="43"/>
      <c r="K44" s="43"/>
      <c r="L44" s="52"/>
      <c r="M44" s="53"/>
      <c r="N44" s="49"/>
      <c r="O44" s="49"/>
    </row>
    <row r="45" ht="15.75" customHeight="1">
      <c r="A45" s="50"/>
      <c r="B45" s="50"/>
      <c r="C45" s="51"/>
      <c r="D45" s="51"/>
      <c r="E45" s="43"/>
      <c r="F45" s="43"/>
      <c r="G45" s="43"/>
      <c r="H45" s="43"/>
      <c r="I45" s="49"/>
      <c r="J45" s="43"/>
      <c r="K45" s="43"/>
      <c r="L45" s="52"/>
      <c r="M45" s="53"/>
      <c r="N45" s="49"/>
      <c r="O45" s="49"/>
    </row>
    <row r="46" ht="15.75" customHeight="1">
      <c r="A46" s="50"/>
      <c r="B46" s="50"/>
      <c r="C46" s="51"/>
      <c r="D46" s="51"/>
      <c r="E46" s="43"/>
      <c r="F46" s="43"/>
      <c r="G46" s="43"/>
      <c r="H46" s="43"/>
      <c r="I46" s="49"/>
      <c r="J46" s="43"/>
      <c r="K46" s="43"/>
      <c r="L46" s="52"/>
      <c r="M46" s="53"/>
      <c r="N46" s="49"/>
      <c r="O46" s="49"/>
    </row>
    <row r="47" ht="15.75" customHeight="1">
      <c r="A47" s="50"/>
      <c r="B47" s="50"/>
      <c r="C47" s="51"/>
      <c r="D47" s="51"/>
      <c r="E47" s="43"/>
      <c r="F47" s="43"/>
      <c r="G47" s="43"/>
      <c r="H47" s="43"/>
      <c r="I47" s="49"/>
      <c r="J47" s="43"/>
      <c r="K47" s="43"/>
      <c r="L47" s="52"/>
      <c r="M47" s="53"/>
      <c r="N47" s="49"/>
      <c r="O47" s="49"/>
    </row>
    <row r="48" ht="15.75" customHeight="1">
      <c r="A48" s="50"/>
      <c r="B48" s="50"/>
      <c r="C48" s="51"/>
      <c r="D48" s="51"/>
      <c r="E48" s="43"/>
      <c r="F48" s="43"/>
      <c r="G48" s="43"/>
      <c r="H48" s="43"/>
      <c r="I48" s="49"/>
      <c r="J48" s="43"/>
      <c r="K48" s="43"/>
      <c r="L48" s="52"/>
      <c r="M48" s="53"/>
      <c r="N48" s="49"/>
      <c r="O48" s="49"/>
    </row>
    <row r="49" ht="15.75" customHeight="1">
      <c r="A49" s="50"/>
      <c r="B49" s="50"/>
      <c r="C49" s="51"/>
      <c r="D49" s="51"/>
      <c r="E49" s="43"/>
      <c r="F49" s="43"/>
      <c r="G49" s="43"/>
      <c r="H49" s="43"/>
      <c r="I49" s="49"/>
      <c r="J49" s="43"/>
      <c r="K49" s="43"/>
      <c r="L49" s="52"/>
      <c r="M49" s="53"/>
      <c r="N49" s="49"/>
      <c r="O49" s="49"/>
    </row>
    <row r="50" ht="15.75" customHeight="1">
      <c r="A50" s="50"/>
      <c r="B50" s="50"/>
      <c r="C50" s="51"/>
      <c r="D50" s="51"/>
      <c r="E50" s="43"/>
      <c r="F50" s="43"/>
      <c r="G50" s="43"/>
      <c r="H50" s="43"/>
      <c r="I50" s="49"/>
      <c r="J50" s="43"/>
      <c r="K50" s="43"/>
      <c r="L50" s="52"/>
      <c r="M50" s="53"/>
      <c r="N50" s="49"/>
      <c r="O50" s="49"/>
    </row>
    <row r="51" ht="15.75" customHeight="1">
      <c r="A51" s="50"/>
      <c r="B51" s="50"/>
      <c r="C51" s="51"/>
      <c r="D51" s="51"/>
      <c r="E51" s="43"/>
      <c r="F51" s="43"/>
      <c r="G51" s="43"/>
      <c r="H51" s="43"/>
      <c r="I51" s="49"/>
      <c r="J51" s="43"/>
      <c r="K51" s="43"/>
      <c r="L51" s="52"/>
      <c r="M51" s="53"/>
      <c r="N51" s="49"/>
      <c r="O51" s="49"/>
    </row>
    <row r="52" ht="15.75" customHeight="1">
      <c r="A52" s="50"/>
      <c r="B52" s="50"/>
      <c r="C52" s="51"/>
      <c r="D52" s="51"/>
      <c r="E52" s="43"/>
      <c r="F52" s="43"/>
      <c r="G52" s="43"/>
      <c r="H52" s="43"/>
      <c r="I52" s="49"/>
      <c r="J52" s="43"/>
      <c r="K52" s="43"/>
      <c r="L52" s="52"/>
      <c r="M52" s="53"/>
      <c r="N52" s="49"/>
      <c r="O52" s="49"/>
    </row>
    <row r="53" ht="15.75" customHeight="1">
      <c r="A53" s="50"/>
      <c r="B53" s="50"/>
      <c r="C53" s="51"/>
      <c r="D53" s="51"/>
      <c r="E53" s="43"/>
      <c r="F53" s="43"/>
      <c r="G53" s="43"/>
      <c r="H53" s="43"/>
      <c r="I53" s="49"/>
      <c r="J53" s="43"/>
      <c r="K53" s="43"/>
      <c r="L53" s="52"/>
      <c r="M53" s="53"/>
      <c r="N53" s="49"/>
      <c r="O53" s="49"/>
    </row>
    <row r="54" ht="15.75" customHeight="1">
      <c r="A54" s="50"/>
      <c r="B54" s="50"/>
      <c r="C54" s="51"/>
      <c r="D54" s="51"/>
      <c r="E54" s="43"/>
      <c r="F54" s="43"/>
      <c r="G54" s="43"/>
      <c r="H54" s="43"/>
      <c r="I54" s="49"/>
      <c r="J54" s="43"/>
      <c r="K54" s="43"/>
      <c r="L54" s="52"/>
      <c r="M54" s="53"/>
      <c r="N54" s="49"/>
      <c r="O54" s="49"/>
    </row>
    <row r="55" ht="15.75" customHeight="1">
      <c r="A55" s="50"/>
      <c r="B55" s="50"/>
      <c r="C55" s="51"/>
      <c r="D55" s="51"/>
      <c r="E55" s="43"/>
      <c r="F55" s="43"/>
      <c r="G55" s="43"/>
      <c r="H55" s="43"/>
      <c r="I55" s="49"/>
      <c r="J55" s="43"/>
      <c r="K55" s="43"/>
      <c r="L55" s="52"/>
      <c r="M55" s="53"/>
      <c r="N55" s="49"/>
      <c r="O55" s="49"/>
    </row>
    <row r="56" ht="15.75" customHeight="1">
      <c r="A56" s="50"/>
      <c r="B56" s="50"/>
      <c r="C56" s="51"/>
      <c r="D56" s="51"/>
      <c r="E56" s="43"/>
      <c r="F56" s="43"/>
      <c r="G56" s="43"/>
      <c r="H56" s="43"/>
      <c r="I56" s="49"/>
      <c r="J56" s="43"/>
      <c r="K56" s="43"/>
      <c r="L56" s="52"/>
      <c r="M56" s="53"/>
      <c r="N56" s="49"/>
      <c r="O56" s="49"/>
    </row>
    <row r="57" ht="15.75" customHeight="1">
      <c r="A57" s="50"/>
      <c r="B57" s="50"/>
      <c r="C57" s="51"/>
      <c r="D57" s="51"/>
      <c r="E57" s="43"/>
      <c r="F57" s="43"/>
      <c r="G57" s="43"/>
      <c r="H57" s="43"/>
      <c r="I57" s="49"/>
      <c r="J57" s="43"/>
      <c r="K57" s="43"/>
      <c r="L57" s="52"/>
      <c r="M57" s="53"/>
      <c r="N57" s="49"/>
      <c r="O57" s="49"/>
    </row>
    <row r="58" ht="15.75" customHeight="1">
      <c r="A58" s="50"/>
      <c r="B58" s="50"/>
      <c r="C58" s="51"/>
      <c r="D58" s="51"/>
      <c r="E58" s="43"/>
      <c r="F58" s="43"/>
      <c r="G58" s="43"/>
      <c r="H58" s="43"/>
      <c r="I58" s="49"/>
      <c r="J58" s="43"/>
      <c r="K58" s="43"/>
      <c r="L58" s="52"/>
      <c r="M58" s="53"/>
      <c r="N58" s="49"/>
      <c r="O58" s="49"/>
    </row>
    <row r="59" ht="15.75" customHeight="1">
      <c r="A59" s="50"/>
      <c r="B59" s="50"/>
      <c r="C59" s="51"/>
      <c r="D59" s="51"/>
      <c r="E59" s="43"/>
      <c r="F59" s="43"/>
      <c r="G59" s="43"/>
      <c r="H59" s="43"/>
      <c r="I59" s="49"/>
      <c r="J59" s="43"/>
      <c r="K59" s="43"/>
      <c r="L59" s="52"/>
      <c r="M59" s="53"/>
      <c r="N59" s="49"/>
      <c r="O59" s="49"/>
    </row>
    <row r="60" ht="15.75" customHeight="1">
      <c r="A60" s="50"/>
      <c r="B60" s="50"/>
      <c r="C60" s="51"/>
      <c r="D60" s="51"/>
      <c r="E60" s="43"/>
      <c r="F60" s="43"/>
      <c r="G60" s="43"/>
      <c r="H60" s="43"/>
      <c r="I60" s="49"/>
      <c r="J60" s="43"/>
      <c r="K60" s="43"/>
      <c r="L60" s="52"/>
      <c r="M60" s="53"/>
      <c r="N60" s="49"/>
      <c r="O60" s="49"/>
    </row>
    <row r="61" ht="15.75" customHeight="1">
      <c r="A61" s="50"/>
      <c r="B61" s="50"/>
      <c r="C61" s="51"/>
      <c r="D61" s="51"/>
      <c r="E61" s="43"/>
      <c r="F61" s="43"/>
      <c r="G61" s="43"/>
      <c r="H61" s="43"/>
      <c r="I61" s="49"/>
      <c r="J61" s="43"/>
      <c r="K61" s="43"/>
      <c r="L61" s="52"/>
      <c r="M61" s="53"/>
      <c r="N61" s="49"/>
      <c r="O61" s="49"/>
    </row>
    <row r="62" ht="15.75" customHeight="1">
      <c r="A62" s="50"/>
      <c r="B62" s="50"/>
      <c r="C62" s="51"/>
      <c r="D62" s="51"/>
      <c r="E62" s="43"/>
      <c r="F62" s="43"/>
      <c r="G62" s="43"/>
      <c r="H62" s="43"/>
      <c r="I62" s="49"/>
      <c r="J62" s="43"/>
      <c r="K62" s="43"/>
      <c r="L62" s="52"/>
      <c r="M62" s="53"/>
      <c r="N62" s="49"/>
      <c r="O62" s="49"/>
    </row>
    <row r="63" ht="15.75" customHeight="1">
      <c r="A63" s="50"/>
      <c r="B63" s="50"/>
      <c r="C63" s="51"/>
      <c r="D63" s="51"/>
      <c r="E63" s="43"/>
      <c r="F63" s="43"/>
      <c r="G63" s="43"/>
      <c r="H63" s="43"/>
      <c r="I63" s="49"/>
      <c r="J63" s="43"/>
      <c r="K63" s="43"/>
      <c r="L63" s="52"/>
      <c r="M63" s="53"/>
      <c r="N63" s="49"/>
      <c r="O63" s="49"/>
    </row>
    <row r="64" ht="15.75" customHeight="1">
      <c r="A64" s="50"/>
      <c r="B64" s="50"/>
      <c r="C64" s="51"/>
      <c r="D64" s="51"/>
      <c r="E64" s="43"/>
      <c r="F64" s="43"/>
      <c r="G64" s="43"/>
      <c r="H64" s="43"/>
      <c r="I64" s="49"/>
      <c r="J64" s="43"/>
      <c r="K64" s="43"/>
      <c r="L64" s="52"/>
      <c r="M64" s="53"/>
      <c r="N64" s="49"/>
      <c r="O64" s="49"/>
    </row>
    <row r="65" ht="15.75" customHeight="1">
      <c r="A65" s="50"/>
      <c r="B65" s="50"/>
      <c r="C65" s="51"/>
      <c r="D65" s="51"/>
      <c r="E65" s="43"/>
      <c r="F65" s="43"/>
      <c r="G65" s="43"/>
      <c r="H65" s="43"/>
      <c r="I65" s="49"/>
      <c r="J65" s="43"/>
      <c r="K65" s="43"/>
      <c r="L65" s="52"/>
      <c r="M65" s="53"/>
      <c r="N65" s="49"/>
      <c r="O65" s="49"/>
    </row>
    <row r="66" ht="15.75" customHeight="1">
      <c r="A66" s="50"/>
      <c r="B66" s="50"/>
      <c r="C66" s="51"/>
      <c r="D66" s="51"/>
      <c r="E66" s="43"/>
      <c r="F66" s="43"/>
      <c r="G66" s="43"/>
      <c r="H66" s="43"/>
      <c r="I66" s="49"/>
      <c r="J66" s="43"/>
      <c r="K66" s="43"/>
      <c r="L66" s="52"/>
      <c r="M66" s="53"/>
      <c r="N66" s="49"/>
      <c r="O66" s="49"/>
    </row>
    <row r="67" ht="15.75" customHeight="1">
      <c r="A67" s="50"/>
      <c r="B67" s="50"/>
      <c r="C67" s="51"/>
      <c r="D67" s="51"/>
      <c r="E67" s="43"/>
      <c r="F67" s="43"/>
      <c r="G67" s="43"/>
      <c r="H67" s="43"/>
      <c r="I67" s="49"/>
      <c r="J67" s="43"/>
      <c r="K67" s="43"/>
      <c r="L67" s="52"/>
      <c r="M67" s="53"/>
      <c r="N67" s="49"/>
      <c r="O67" s="49"/>
    </row>
    <row r="68" ht="15.75" customHeight="1">
      <c r="A68" s="50"/>
      <c r="B68" s="50"/>
      <c r="C68" s="51"/>
      <c r="D68" s="51"/>
      <c r="E68" s="43"/>
      <c r="F68" s="43"/>
      <c r="G68" s="43"/>
      <c r="H68" s="43"/>
      <c r="I68" s="49"/>
      <c r="J68" s="43"/>
      <c r="K68" s="43"/>
      <c r="L68" s="52"/>
      <c r="M68" s="53"/>
      <c r="N68" s="49"/>
      <c r="O68" s="49"/>
    </row>
    <row r="69" ht="15.75" customHeight="1">
      <c r="A69" s="50"/>
      <c r="B69" s="50"/>
      <c r="C69" s="51"/>
      <c r="D69" s="51"/>
      <c r="E69" s="43"/>
      <c r="F69" s="43"/>
      <c r="G69" s="43"/>
      <c r="H69" s="43"/>
      <c r="I69" s="49"/>
      <c r="J69" s="43"/>
      <c r="K69" s="43"/>
      <c r="L69" s="52"/>
      <c r="M69" s="53"/>
      <c r="N69" s="49"/>
      <c r="O69" s="49"/>
    </row>
    <row r="70" ht="15.75" customHeight="1">
      <c r="A70" s="50"/>
      <c r="B70" s="50"/>
      <c r="C70" s="51"/>
      <c r="D70" s="51"/>
      <c r="E70" s="43"/>
      <c r="F70" s="43"/>
      <c r="G70" s="43"/>
      <c r="H70" s="43"/>
      <c r="I70" s="49"/>
      <c r="J70" s="43"/>
      <c r="K70" s="43"/>
      <c r="L70" s="52"/>
      <c r="M70" s="53"/>
      <c r="N70" s="49"/>
      <c r="O70" s="49"/>
    </row>
    <row r="71" ht="15.75" customHeight="1">
      <c r="A71" s="50"/>
      <c r="B71" s="50"/>
      <c r="C71" s="51"/>
      <c r="D71" s="51"/>
      <c r="E71" s="43"/>
      <c r="F71" s="43"/>
      <c r="G71" s="43"/>
      <c r="H71" s="43"/>
      <c r="I71" s="49"/>
      <c r="J71" s="43"/>
      <c r="K71" s="43"/>
      <c r="L71" s="52"/>
      <c r="M71" s="53"/>
      <c r="N71" s="49"/>
      <c r="O71" s="49"/>
    </row>
    <row r="72" ht="15.75" customHeight="1">
      <c r="A72" s="50"/>
      <c r="B72" s="50"/>
      <c r="C72" s="51"/>
      <c r="D72" s="51"/>
      <c r="E72" s="43"/>
      <c r="F72" s="43"/>
      <c r="G72" s="43"/>
      <c r="H72" s="43"/>
      <c r="I72" s="49"/>
      <c r="J72" s="43"/>
      <c r="K72" s="43"/>
      <c r="L72" s="52"/>
      <c r="M72" s="53"/>
      <c r="N72" s="49"/>
      <c r="O72" s="49"/>
    </row>
    <row r="73" ht="15.75" customHeight="1">
      <c r="A73" s="50"/>
      <c r="B73" s="50"/>
      <c r="C73" s="51"/>
      <c r="D73" s="51"/>
      <c r="E73" s="43"/>
      <c r="F73" s="43"/>
      <c r="G73" s="43"/>
      <c r="H73" s="43"/>
      <c r="I73" s="49"/>
      <c r="J73" s="43"/>
      <c r="K73" s="43"/>
      <c r="L73" s="52"/>
      <c r="M73" s="53"/>
      <c r="N73" s="49"/>
      <c r="O73" s="49"/>
    </row>
    <row r="74" ht="15.75" customHeight="1">
      <c r="A74" s="50"/>
      <c r="B74" s="50"/>
      <c r="C74" s="51"/>
      <c r="D74" s="51"/>
      <c r="E74" s="43"/>
      <c r="F74" s="43"/>
      <c r="G74" s="43"/>
      <c r="H74" s="43"/>
      <c r="I74" s="49"/>
      <c r="J74" s="43"/>
      <c r="K74" s="43"/>
      <c r="L74" s="52"/>
      <c r="M74" s="53"/>
      <c r="N74" s="49"/>
      <c r="O74" s="49"/>
    </row>
    <row r="75" ht="15.75" customHeight="1">
      <c r="A75" s="50"/>
      <c r="B75" s="50"/>
      <c r="C75" s="51"/>
      <c r="D75" s="51"/>
      <c r="E75" s="43"/>
      <c r="F75" s="43"/>
      <c r="G75" s="43"/>
      <c r="H75" s="43"/>
      <c r="I75" s="49"/>
      <c r="J75" s="43"/>
      <c r="K75" s="43"/>
      <c r="L75" s="52"/>
      <c r="M75" s="53"/>
      <c r="N75" s="49"/>
      <c r="O75" s="49"/>
    </row>
    <row r="76" ht="15.75" customHeight="1">
      <c r="A76" s="50"/>
      <c r="B76" s="50"/>
      <c r="C76" s="51"/>
      <c r="D76" s="51"/>
      <c r="E76" s="43"/>
      <c r="F76" s="43"/>
      <c r="G76" s="43"/>
      <c r="H76" s="43"/>
      <c r="I76" s="49"/>
      <c r="J76" s="43"/>
      <c r="K76" s="43"/>
      <c r="L76" s="52"/>
      <c r="M76" s="53"/>
      <c r="N76" s="49"/>
      <c r="O76" s="49"/>
    </row>
    <row r="77" ht="15.75" customHeight="1">
      <c r="A77" s="50"/>
      <c r="B77" s="50"/>
      <c r="C77" s="51"/>
      <c r="D77" s="51"/>
      <c r="E77" s="43"/>
      <c r="F77" s="43"/>
      <c r="G77" s="43"/>
      <c r="H77" s="43"/>
      <c r="I77" s="49"/>
      <c r="J77" s="43"/>
      <c r="K77" s="43"/>
      <c r="L77" s="52"/>
      <c r="M77" s="53"/>
      <c r="N77" s="49"/>
      <c r="O77" s="49"/>
    </row>
    <row r="78" ht="15.75" customHeight="1">
      <c r="A78" s="50"/>
      <c r="B78" s="50"/>
      <c r="C78" s="51"/>
      <c r="D78" s="51"/>
      <c r="E78" s="43"/>
      <c r="F78" s="43"/>
      <c r="G78" s="43"/>
      <c r="H78" s="43"/>
      <c r="I78" s="49"/>
      <c r="J78" s="43"/>
      <c r="K78" s="43"/>
      <c r="L78" s="52"/>
      <c r="M78" s="53"/>
      <c r="N78" s="49"/>
      <c r="O78" s="49"/>
    </row>
    <row r="79" ht="15.75" customHeight="1">
      <c r="A79" s="50"/>
      <c r="B79" s="50"/>
      <c r="C79" s="51"/>
      <c r="D79" s="51"/>
      <c r="E79" s="43"/>
      <c r="F79" s="43"/>
      <c r="G79" s="43"/>
      <c r="H79" s="43"/>
      <c r="I79" s="49"/>
      <c r="J79" s="43"/>
      <c r="K79" s="43"/>
      <c r="L79" s="52"/>
      <c r="M79" s="53"/>
      <c r="N79" s="49"/>
      <c r="O79" s="49"/>
    </row>
    <row r="80" ht="15.75" customHeight="1">
      <c r="A80" s="50"/>
      <c r="B80" s="50"/>
      <c r="C80" s="51"/>
      <c r="D80" s="51"/>
      <c r="E80" s="43"/>
      <c r="F80" s="43"/>
      <c r="G80" s="43"/>
      <c r="H80" s="43"/>
      <c r="I80" s="49"/>
      <c r="J80" s="43"/>
      <c r="K80" s="43"/>
      <c r="L80" s="52"/>
      <c r="M80" s="53"/>
      <c r="N80" s="49"/>
      <c r="O80" s="49"/>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M1"/>
  </mergeCells>
  <conditionalFormatting sqref="J14:J43">
    <cfRule type="cellIs" dxfId="3" priority="1" operator="greaterThan">
      <formula>0</formula>
    </cfRule>
  </conditionalFormatting>
  <conditionalFormatting sqref="J14:J80">
    <cfRule type="expression" dxfId="1" priority="2">
      <formula>J14&gt;0</formula>
    </cfRule>
  </conditionalFormatting>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25.0"/>
    <col customWidth="1" min="3" max="3" width="9.0"/>
    <col customWidth="1" min="4" max="4" width="18.75"/>
    <col customWidth="1" min="5" max="7" width="16.0"/>
    <col customWidth="1" min="8" max="10" width="13.0"/>
    <col customWidth="1" min="11" max="11" width="16.0"/>
    <col customWidth="1" min="12" max="12" width="13.0"/>
    <col customWidth="1" min="13" max="13" width="32.0"/>
    <col customWidth="1" min="14" max="15" width="16.0"/>
  </cols>
  <sheetData>
    <row r="1" ht="30.0" customHeight="1">
      <c r="A1" s="1" t="s">
        <v>116</v>
      </c>
      <c r="N1" s="2"/>
      <c r="O1" s="2"/>
    </row>
    <row r="2">
      <c r="A2" s="3"/>
      <c r="B2" s="3"/>
      <c r="C2" s="3"/>
      <c r="D2" s="3"/>
      <c r="E2" s="3"/>
      <c r="F2" s="3"/>
      <c r="G2" s="3"/>
      <c r="H2" s="3"/>
      <c r="I2" s="3"/>
      <c r="J2" s="3"/>
      <c r="K2" s="3"/>
      <c r="L2" s="3"/>
      <c r="M2" s="3"/>
      <c r="N2" s="3"/>
      <c r="O2" s="3"/>
    </row>
    <row r="3">
      <c r="A3" s="4" t="s">
        <v>95</v>
      </c>
      <c r="B3" s="4" t="s">
        <v>6</v>
      </c>
      <c r="C3" s="3"/>
      <c r="D3" s="4" t="s">
        <v>96</v>
      </c>
      <c r="E3" s="4" t="s">
        <v>6</v>
      </c>
      <c r="F3" s="3"/>
      <c r="G3" s="3"/>
      <c r="H3" s="3"/>
      <c r="I3" s="3"/>
      <c r="J3" s="3"/>
      <c r="K3" s="3"/>
      <c r="L3" s="3"/>
      <c r="M3" s="3"/>
      <c r="N3" s="3"/>
      <c r="O3" s="3"/>
    </row>
    <row r="4">
      <c r="A4" s="38" t="s">
        <v>10</v>
      </c>
      <c r="B4" s="39" t="str">
        <f>IF(DANH_MUC_LOP!B7="","",DANH_MUC_LOP!B7)</f>
        <v>L09</v>
      </c>
      <c r="C4" s="3"/>
      <c r="D4" s="40" t="s">
        <v>97</v>
      </c>
      <c r="E4" s="41">
        <f>SUM(J14:J41)</f>
        <v>0</v>
      </c>
      <c r="F4" s="3"/>
      <c r="G4" s="3"/>
      <c r="H4" s="3"/>
      <c r="I4" s="3"/>
      <c r="J4" s="3"/>
      <c r="K4" s="3"/>
      <c r="L4" s="3"/>
      <c r="M4" s="3"/>
      <c r="N4" s="3"/>
      <c r="O4" s="3"/>
    </row>
    <row r="5">
      <c r="A5" s="38" t="s">
        <v>19</v>
      </c>
      <c r="B5" s="39" t="str">
        <f>IF(DANH_MUC_LOP!C7="","",DANH_MUC_LOP!C7)</f>
        <v>Toán 9 Thầy Cường</v>
      </c>
      <c r="C5" s="3"/>
      <c r="D5" s="40" t="s">
        <v>65</v>
      </c>
      <c r="E5" s="41">
        <f>SUM(K14:K41)</f>
        <v>480000</v>
      </c>
      <c r="F5" s="3"/>
      <c r="G5" s="3"/>
      <c r="H5" s="3"/>
      <c r="I5" s="3"/>
      <c r="J5" s="3"/>
      <c r="K5" s="3"/>
      <c r="L5" s="3"/>
      <c r="M5" s="3"/>
      <c r="N5" s="3"/>
      <c r="O5" s="3"/>
    </row>
    <row r="6">
      <c r="A6" s="38" t="s">
        <v>98</v>
      </c>
      <c r="B6" s="39">
        <f>IFERROR(IF(DANH_MUC_LOP!R7&gt;0,DANH_MUC_LOP!R7,LOP_04!$B$16),0)</f>
        <v>9</v>
      </c>
      <c r="C6" s="3"/>
      <c r="D6" s="40" t="s">
        <v>99</v>
      </c>
      <c r="E6" s="41">
        <f>IF(B4="",0,SUMIF(THUONG_HOC_SINH!$A$4:$A$83,B4,THUONG_HOC_SINH!$D$4:$D$83))</f>
        <v>0</v>
      </c>
      <c r="F6" s="3"/>
      <c r="G6" s="3"/>
      <c r="H6" s="3"/>
      <c r="I6" s="3"/>
      <c r="J6" s="3"/>
      <c r="K6" s="3"/>
      <c r="L6" s="3"/>
      <c r="M6" s="3"/>
      <c r="N6" s="3"/>
      <c r="O6" s="3"/>
    </row>
    <row r="7">
      <c r="A7" s="38" t="s">
        <v>23</v>
      </c>
      <c r="B7" s="41">
        <f>IF(DANH_MUC_LOP!B7="","",DANH_MUC_LOP!F7)</f>
        <v>60000</v>
      </c>
      <c r="C7" s="3"/>
      <c r="D7" s="42"/>
      <c r="E7" s="43"/>
      <c r="F7" s="3"/>
      <c r="G7" s="3"/>
      <c r="H7" s="3"/>
      <c r="I7" s="3"/>
      <c r="J7" s="3"/>
      <c r="K7" s="3"/>
      <c r="L7" s="3"/>
      <c r="M7" s="3"/>
      <c r="N7" s="3"/>
      <c r="O7" s="3"/>
    </row>
    <row r="8">
      <c r="A8" s="38" t="s">
        <v>31</v>
      </c>
      <c r="B8" s="39" t="str">
        <f>IF(DANH_MUC_LOP!B7="","",DANH_MUC_LOP!N7)</f>
        <v>Thu trước</v>
      </c>
      <c r="C8" s="3"/>
      <c r="D8" s="42"/>
      <c r="E8" s="43"/>
      <c r="F8" s="3"/>
      <c r="G8" s="3"/>
      <c r="H8" s="3"/>
      <c r="I8" s="3"/>
      <c r="J8" s="3"/>
      <c r="K8" s="3"/>
      <c r="L8" s="3"/>
      <c r="M8" s="3"/>
      <c r="N8" s="3"/>
      <c r="O8" s="3"/>
    </row>
    <row r="9">
      <c r="A9" s="38" t="s">
        <v>100</v>
      </c>
      <c r="B9" s="39">
        <f>COUNTIF(A14:A41,"?*")</f>
        <v>10</v>
      </c>
      <c r="C9" s="3"/>
      <c r="D9" s="42"/>
      <c r="E9" s="43"/>
      <c r="F9" s="3"/>
      <c r="G9" s="3"/>
      <c r="H9" s="3"/>
      <c r="I9" s="3"/>
      <c r="J9" s="3"/>
      <c r="K9" s="3"/>
      <c r="L9" s="3"/>
      <c r="M9" s="3"/>
      <c r="N9" s="3"/>
      <c r="O9" s="3"/>
    </row>
    <row r="10">
      <c r="A10" s="38" t="s">
        <v>101</v>
      </c>
      <c r="B10" s="41">
        <f>SUM(H14:H41)</f>
        <v>4860000</v>
      </c>
      <c r="C10" s="3"/>
      <c r="D10" s="42"/>
      <c r="E10" s="43"/>
      <c r="F10" s="3"/>
      <c r="G10" s="3"/>
      <c r="H10" s="3"/>
      <c r="I10" s="3"/>
      <c r="J10" s="3"/>
      <c r="K10" s="3"/>
      <c r="L10" s="3"/>
      <c r="M10" s="3"/>
      <c r="N10" s="3"/>
      <c r="O10" s="3"/>
    </row>
    <row r="11">
      <c r="A11" s="38" t="s">
        <v>102</v>
      </c>
      <c r="B11" s="41">
        <f>SUM(I14:I41)</f>
        <v>4860000</v>
      </c>
      <c r="C11" s="3"/>
      <c r="D11" s="42"/>
      <c r="E11" s="43"/>
      <c r="F11" s="3"/>
      <c r="G11" s="3"/>
      <c r="H11" s="3"/>
      <c r="I11" s="3"/>
      <c r="J11" s="3"/>
      <c r="K11" s="3"/>
      <c r="L11" s="3"/>
      <c r="M11" s="3"/>
      <c r="N11" s="3"/>
      <c r="O11" s="3"/>
    </row>
    <row r="12">
      <c r="A12" s="3"/>
      <c r="B12" s="3"/>
      <c r="C12" s="3"/>
      <c r="D12" s="3"/>
      <c r="E12" s="3"/>
      <c r="F12" s="3"/>
      <c r="G12" s="3"/>
      <c r="H12" s="3"/>
      <c r="I12" s="3"/>
      <c r="J12" s="3"/>
      <c r="K12" s="3"/>
      <c r="L12" s="3"/>
      <c r="M12" s="44" t="s">
        <v>118</v>
      </c>
      <c r="N12" s="3"/>
      <c r="O12" s="3"/>
    </row>
    <row r="13" ht="27.75" customHeight="1">
      <c r="A13" s="5" t="s">
        <v>14</v>
      </c>
      <c r="B13" s="5" t="s">
        <v>16</v>
      </c>
      <c r="C13" s="5" t="s">
        <v>104</v>
      </c>
      <c r="D13" s="5" t="s">
        <v>105</v>
      </c>
      <c r="E13" s="5" t="s">
        <v>106</v>
      </c>
      <c r="F13" s="5" t="s">
        <v>107</v>
      </c>
      <c r="G13" s="5" t="s">
        <v>64</v>
      </c>
      <c r="H13" s="5" t="s">
        <v>108</v>
      </c>
      <c r="I13" s="5" t="s">
        <v>102</v>
      </c>
      <c r="J13" s="5" t="s">
        <v>97</v>
      </c>
      <c r="K13" s="5" t="s">
        <v>65</v>
      </c>
      <c r="L13" s="5" t="s">
        <v>109</v>
      </c>
      <c r="M13" s="5" t="s">
        <v>15</v>
      </c>
      <c r="N13" s="5" t="s">
        <v>110</v>
      </c>
      <c r="O13" s="5" t="s">
        <v>111</v>
      </c>
    </row>
    <row r="14">
      <c r="A14" s="45" t="str">
        <f>IFERROR(LOP_04!$A$21,"")</f>
        <v>HS09-001</v>
      </c>
      <c r="B14" s="45" t="str">
        <f>IFERROR(LOP_04!$B$21,"")</f>
        <v>Trường An</v>
      </c>
      <c r="C14" s="46">
        <f>IFERROR(LOP_04!$AH$21,"")</f>
        <v>5</v>
      </c>
      <c r="D14" s="46">
        <f>IFERROR(LOP_04!$AI$21,"")</f>
        <v>0</v>
      </c>
      <c r="E14" s="41">
        <f t="shared" ref="E14:E41" si="1">IF(A14="","",$B$7)</f>
        <v>60000</v>
      </c>
      <c r="F14" s="41">
        <f t="shared" ref="F14:F41" si="2">IF(A14="","",IF($B$8="Thu trước",$B$6*E14,C14*E14))</f>
        <v>540000</v>
      </c>
      <c r="G14" s="41">
        <f>IF(A14="","",SUMIFS(CHUYEN_THANG!$D$4:$D$403,CHUYEN_THANG!$A$4:$A$403,$B$4,CHUYEN_THANG!$B$4:$B$403,A14))</f>
        <v>0</v>
      </c>
      <c r="H14" s="41">
        <f t="shared" ref="H14:H41" si="3">IF(A14="","",IF(O14&lt;&gt;"",MAX(0,O14),MAX(0,F14-G14+N14)))</f>
        <v>540000</v>
      </c>
      <c r="I14" s="11">
        <f t="shared" ref="I14:I23" si="4">H14</f>
        <v>540000</v>
      </c>
      <c r="J14" s="41">
        <f t="shared" ref="J14:J41" si="5">IF(A14="","",MAX(0,H14-I14))</f>
        <v>0</v>
      </c>
      <c r="K14" s="41">
        <f t="shared" ref="K14:K41" si="6">IF(A14="","",IF($B$8="Thu trước",D14*E14,0))</f>
        <v>0</v>
      </c>
      <c r="L14" s="48"/>
      <c r="M14" s="9"/>
      <c r="N14" s="49"/>
      <c r="O14" s="49"/>
    </row>
    <row r="15">
      <c r="A15" s="45" t="str">
        <f>IFERROR(LOP_04!$A$22,"")</f>
        <v>HS09-002</v>
      </c>
      <c r="B15" s="45" t="str">
        <f>IFERROR(LOP_04!$B$22,"")</f>
        <v>Như Quỳnh</v>
      </c>
      <c r="C15" s="46">
        <f>IFERROR(LOP_04!$AH$22,"")</f>
        <v>2</v>
      </c>
      <c r="D15" s="46">
        <f>IFERROR(LOP_04!$AI$22,"")</f>
        <v>3</v>
      </c>
      <c r="E15" s="41">
        <f t="shared" si="1"/>
        <v>60000</v>
      </c>
      <c r="F15" s="41">
        <f t="shared" si="2"/>
        <v>540000</v>
      </c>
      <c r="G15" s="41">
        <f>IF(A15="","",SUMIFS(CHUYEN_THANG!$D$4:$D$403,CHUYEN_THANG!$A$4:$A$403,$B$4,CHUYEN_THANG!$B$4:$B$403,A15))</f>
        <v>0</v>
      </c>
      <c r="H15" s="41">
        <f t="shared" si="3"/>
        <v>540000</v>
      </c>
      <c r="I15" s="11">
        <f t="shared" si="4"/>
        <v>540000</v>
      </c>
      <c r="J15" s="41">
        <f t="shared" si="5"/>
        <v>0</v>
      </c>
      <c r="K15" s="41">
        <f t="shared" si="6"/>
        <v>180000</v>
      </c>
      <c r="L15" s="48"/>
      <c r="M15" s="9"/>
      <c r="N15" s="49"/>
      <c r="O15" s="49"/>
    </row>
    <row r="16">
      <c r="A16" s="45" t="str">
        <f>IFERROR(LOP_04!$A$23,"")</f>
        <v>HS09-003</v>
      </c>
      <c r="B16" s="45" t="str">
        <f>IFERROR(LOP_04!$B$23,"")</f>
        <v>Huy Đức</v>
      </c>
      <c r="C16" s="46">
        <f>IFERROR(LOP_04!$AH$23,"")</f>
        <v>4</v>
      </c>
      <c r="D16" s="46">
        <f>IFERROR(LOP_04!$AI$23,"")</f>
        <v>1</v>
      </c>
      <c r="E16" s="41">
        <f t="shared" si="1"/>
        <v>60000</v>
      </c>
      <c r="F16" s="41">
        <f t="shared" si="2"/>
        <v>540000</v>
      </c>
      <c r="G16" s="41">
        <f>IF(A16="","",SUMIFS(CHUYEN_THANG!$D$4:$D$403,CHUYEN_THANG!$A$4:$A$403,$B$4,CHUYEN_THANG!$B$4:$B$403,A16))</f>
        <v>0</v>
      </c>
      <c r="H16" s="41">
        <f t="shared" si="3"/>
        <v>660000</v>
      </c>
      <c r="I16" s="11">
        <f t="shared" si="4"/>
        <v>660000</v>
      </c>
      <c r="J16" s="41">
        <f t="shared" si="5"/>
        <v>0</v>
      </c>
      <c r="K16" s="41">
        <f t="shared" si="6"/>
        <v>60000</v>
      </c>
      <c r="L16" s="48"/>
      <c r="M16" s="9" t="s">
        <v>119</v>
      </c>
      <c r="N16" s="54">
        <v>120000.0</v>
      </c>
      <c r="O16" s="49"/>
    </row>
    <row r="17">
      <c r="A17" s="45" t="str">
        <f>IFERROR(LOP_04!$A$24,"")</f>
        <v>HS09-004</v>
      </c>
      <c r="B17" s="45" t="str">
        <f>IFERROR(LOP_04!$B$24,"")</f>
        <v>Anh Trọng</v>
      </c>
      <c r="C17" s="46">
        <f>IFERROR(LOP_04!$AH$24,"")</f>
        <v>5</v>
      </c>
      <c r="D17" s="46">
        <f>IFERROR(LOP_04!$AI$24,"")</f>
        <v>0</v>
      </c>
      <c r="E17" s="41">
        <f t="shared" si="1"/>
        <v>60000</v>
      </c>
      <c r="F17" s="41">
        <f t="shared" si="2"/>
        <v>540000</v>
      </c>
      <c r="G17" s="41">
        <f>IF(A17="","",SUMIFS(CHUYEN_THANG!$D$4:$D$403,CHUYEN_THANG!$A$4:$A$403,$B$4,CHUYEN_THANG!$B$4:$B$403,A17))</f>
        <v>60000</v>
      </c>
      <c r="H17" s="41">
        <f t="shared" si="3"/>
        <v>480000</v>
      </c>
      <c r="I17" s="11">
        <f t="shared" si="4"/>
        <v>480000</v>
      </c>
      <c r="J17" s="41">
        <f t="shared" si="5"/>
        <v>0</v>
      </c>
      <c r="K17" s="41">
        <f t="shared" si="6"/>
        <v>0</v>
      </c>
      <c r="L17" s="48"/>
      <c r="M17" s="9" t="s">
        <v>120</v>
      </c>
      <c r="N17" s="49"/>
      <c r="O17" s="49"/>
    </row>
    <row r="18">
      <c r="A18" s="45" t="str">
        <f>IFERROR(LOP_04!$A$25,"")</f>
        <v>HS09-005</v>
      </c>
      <c r="B18" s="45" t="str">
        <f>IFERROR(LOP_04!$B$25,"")</f>
        <v>Nguyễn Gia Bảo</v>
      </c>
      <c r="C18" s="46">
        <f>IFERROR(LOP_04!$AH$25,"")</f>
        <v>5</v>
      </c>
      <c r="D18" s="46">
        <f>IFERROR(LOP_04!$AI$25,"")</f>
        <v>0</v>
      </c>
      <c r="E18" s="41">
        <f t="shared" si="1"/>
        <v>60000</v>
      </c>
      <c r="F18" s="41">
        <f t="shared" si="2"/>
        <v>540000</v>
      </c>
      <c r="G18" s="41">
        <f>IF(A18="","",SUMIFS(CHUYEN_THANG!$D$4:$D$403,CHUYEN_THANG!$A$4:$A$403,$B$4,CHUYEN_THANG!$B$4:$B$403,A18))</f>
        <v>0</v>
      </c>
      <c r="H18" s="41">
        <f t="shared" si="3"/>
        <v>540000</v>
      </c>
      <c r="I18" s="11">
        <f t="shared" si="4"/>
        <v>540000</v>
      </c>
      <c r="J18" s="41">
        <f t="shared" si="5"/>
        <v>0</v>
      </c>
      <c r="K18" s="41">
        <f t="shared" si="6"/>
        <v>0</v>
      </c>
      <c r="L18" s="48"/>
      <c r="M18" s="9"/>
      <c r="N18" s="49"/>
      <c r="O18" s="49"/>
    </row>
    <row r="19">
      <c r="A19" s="45" t="str">
        <f>IFERROR(LOP_04!$A$26,"")</f>
        <v>HS09-006</v>
      </c>
      <c r="B19" s="45" t="str">
        <f>IFERROR(LOP_04!$B$26,"")</f>
        <v>Phạm Đức Hùng</v>
      </c>
      <c r="C19" s="46">
        <f>IFERROR(LOP_04!$AH$26,"")</f>
        <v>5</v>
      </c>
      <c r="D19" s="46">
        <f>IFERROR(LOP_04!$AI$26,"")</f>
        <v>0</v>
      </c>
      <c r="E19" s="41">
        <f t="shared" si="1"/>
        <v>60000</v>
      </c>
      <c r="F19" s="41">
        <f t="shared" si="2"/>
        <v>540000</v>
      </c>
      <c r="G19" s="41">
        <f>IF(A19="","",SUMIFS(CHUYEN_THANG!$D$4:$D$403,CHUYEN_THANG!$A$4:$A$403,$B$4,CHUYEN_THANG!$B$4:$B$403,A19))</f>
        <v>0</v>
      </c>
      <c r="H19" s="41">
        <f t="shared" si="3"/>
        <v>540000</v>
      </c>
      <c r="I19" s="11">
        <f t="shared" si="4"/>
        <v>540000</v>
      </c>
      <c r="J19" s="41">
        <f t="shared" si="5"/>
        <v>0</v>
      </c>
      <c r="K19" s="41">
        <f t="shared" si="6"/>
        <v>0</v>
      </c>
      <c r="L19" s="48"/>
      <c r="M19" s="9" t="s">
        <v>121</v>
      </c>
      <c r="N19" s="49"/>
      <c r="O19" s="49"/>
    </row>
    <row r="20">
      <c r="A20" s="45" t="str">
        <f>IFERROR(LOP_04!$A$27,"")</f>
        <v>HS09-007</v>
      </c>
      <c r="B20" s="45" t="str">
        <f>IFERROR(LOP_04!$B$27,"")</f>
        <v>Quân</v>
      </c>
      <c r="C20" s="46">
        <f>IFERROR(LOP_04!$AH$27,"")</f>
        <v>5</v>
      </c>
      <c r="D20" s="46">
        <f>IFERROR(LOP_04!$AI$27,"")</f>
        <v>0</v>
      </c>
      <c r="E20" s="41">
        <f t="shared" si="1"/>
        <v>60000</v>
      </c>
      <c r="F20" s="41">
        <f t="shared" si="2"/>
        <v>540000</v>
      </c>
      <c r="G20" s="41">
        <f>IF(A20="","",SUMIFS(CHUYEN_THANG!$D$4:$D$403,CHUYEN_THANG!$A$4:$A$403,$B$4,CHUYEN_THANG!$B$4:$B$403,A20))</f>
        <v>60000</v>
      </c>
      <c r="H20" s="41">
        <f t="shared" si="3"/>
        <v>480000</v>
      </c>
      <c r="I20" s="11">
        <f t="shared" si="4"/>
        <v>480000</v>
      </c>
      <c r="J20" s="41">
        <f t="shared" si="5"/>
        <v>0</v>
      </c>
      <c r="K20" s="41">
        <f t="shared" si="6"/>
        <v>0</v>
      </c>
      <c r="L20" s="48"/>
      <c r="M20" s="9" t="s">
        <v>122</v>
      </c>
      <c r="N20" s="49"/>
      <c r="O20" s="49"/>
    </row>
    <row r="21" ht="15.75" customHeight="1">
      <c r="A21" s="45" t="str">
        <f>IFERROR(LOP_04!$A$28,"")</f>
        <v>HS09-008</v>
      </c>
      <c r="B21" s="45" t="str">
        <f>IFERROR(LOP_04!$B$28,"")</f>
        <v>Châu</v>
      </c>
      <c r="C21" s="46">
        <f>IFERROR(LOP_04!$AH$28,"")</f>
        <v>0</v>
      </c>
      <c r="D21" s="46">
        <f>IFERROR(LOP_04!$AI$28,"")</f>
        <v>4</v>
      </c>
      <c r="E21" s="41">
        <f t="shared" si="1"/>
        <v>60000</v>
      </c>
      <c r="F21" s="41">
        <f t="shared" si="2"/>
        <v>540000</v>
      </c>
      <c r="G21" s="41">
        <f>IF(A21="","",SUMIFS(CHUYEN_THANG!$D$4:$D$403,CHUYEN_THANG!$A$4:$A$403,$B$4,CHUYEN_THANG!$B$4:$B$403,A21))</f>
        <v>0</v>
      </c>
      <c r="H21" s="41">
        <f t="shared" si="3"/>
        <v>0</v>
      </c>
      <c r="I21" s="11">
        <f t="shared" si="4"/>
        <v>0</v>
      </c>
      <c r="J21" s="41">
        <f t="shared" si="5"/>
        <v>0</v>
      </c>
      <c r="K21" s="41">
        <f t="shared" si="6"/>
        <v>240000</v>
      </c>
      <c r="L21" s="48"/>
      <c r="M21" s="9" t="s">
        <v>123</v>
      </c>
      <c r="N21" s="49"/>
      <c r="O21" s="54">
        <v>0.0</v>
      </c>
    </row>
    <row r="22" ht="15.75" customHeight="1">
      <c r="A22" s="45" t="str">
        <f>IFERROR(LOP_04!$A$29,"")</f>
        <v>HS09-009</v>
      </c>
      <c r="B22" s="45" t="str">
        <f>IFERROR(LOP_04!$B$29,"")</f>
        <v>Phương Nhi</v>
      </c>
      <c r="C22" s="46">
        <f>IFERROR(LOP_04!$AH$29,"")</f>
        <v>5</v>
      </c>
      <c r="D22" s="46">
        <f>IFERROR(LOP_04!$AI$29,"")</f>
        <v>0</v>
      </c>
      <c r="E22" s="41">
        <f t="shared" si="1"/>
        <v>60000</v>
      </c>
      <c r="F22" s="41">
        <f t="shared" si="2"/>
        <v>540000</v>
      </c>
      <c r="G22" s="41">
        <f>IF(A22="","",SUMIFS(CHUYEN_THANG!$D$4:$D$403,CHUYEN_THANG!$A$4:$A$403,$B$4,CHUYEN_THANG!$B$4:$B$403,A22))</f>
        <v>0</v>
      </c>
      <c r="H22" s="41">
        <f t="shared" si="3"/>
        <v>540000</v>
      </c>
      <c r="I22" s="11">
        <f t="shared" si="4"/>
        <v>540000</v>
      </c>
      <c r="J22" s="41">
        <f t="shared" si="5"/>
        <v>0</v>
      </c>
      <c r="K22" s="41">
        <f t="shared" si="6"/>
        <v>0</v>
      </c>
      <c r="L22" s="48"/>
      <c r="M22" s="9"/>
      <c r="N22" s="49"/>
      <c r="O22" s="49"/>
    </row>
    <row r="23" ht="15.75" customHeight="1">
      <c r="A23" s="45" t="str">
        <f>IFERROR(LOP_04!$A$30,"")</f>
        <v>HS09-010</v>
      </c>
      <c r="B23" s="45" t="str">
        <f>IFERROR(LOP_04!$B$30,"")</f>
        <v>Lê Bảo Châm</v>
      </c>
      <c r="C23" s="46">
        <f>IFERROR(LOP_04!$AH$30,"")</f>
        <v>5</v>
      </c>
      <c r="D23" s="46">
        <f>IFERROR(LOP_04!$AI$30,"")</f>
        <v>0</v>
      </c>
      <c r="E23" s="41">
        <f t="shared" si="1"/>
        <v>60000</v>
      </c>
      <c r="F23" s="41">
        <f t="shared" si="2"/>
        <v>540000</v>
      </c>
      <c r="G23" s="41">
        <f>IF(A23="","",SUMIFS(CHUYEN_THANG!$D$4:$D$403,CHUYEN_THANG!$A$4:$A$403,$B$4,CHUYEN_THANG!$B$4:$B$403,A23))</f>
        <v>0</v>
      </c>
      <c r="H23" s="41">
        <f t="shared" si="3"/>
        <v>540000</v>
      </c>
      <c r="I23" s="11">
        <f t="shared" si="4"/>
        <v>540000</v>
      </c>
      <c r="J23" s="41">
        <f t="shared" si="5"/>
        <v>0</v>
      </c>
      <c r="K23" s="41">
        <f t="shared" si="6"/>
        <v>0</v>
      </c>
      <c r="L23" s="48"/>
      <c r="M23" s="9" t="s">
        <v>124</v>
      </c>
      <c r="N23" s="49"/>
      <c r="O23" s="49"/>
    </row>
    <row r="24" ht="15.75" customHeight="1">
      <c r="A24" s="45" t="str">
        <f>IFERROR(LOP_04!$A$33,"")</f>
        <v/>
      </c>
      <c r="B24" s="45" t="str">
        <f>IFERROR(LOP_04!$B$33,"")</f>
        <v/>
      </c>
      <c r="C24" s="46" t="str">
        <f>IFERROR(LOP_04!$AH$33,"")</f>
        <v/>
      </c>
      <c r="D24" s="46" t="str">
        <f>IFERROR(LOP_04!$AI$33,"")</f>
        <v/>
      </c>
      <c r="E24" s="41" t="str">
        <f t="shared" si="1"/>
        <v/>
      </c>
      <c r="F24" s="41" t="str">
        <f t="shared" si="2"/>
        <v/>
      </c>
      <c r="G24" s="41" t="str">
        <f>IF(A24="","",SUMIFS(CHUYEN_THANG!$D$4:$D$403,CHUYEN_THANG!$A$4:$A$403,$B$4,CHUYEN_THANG!$B$4:$B$403,A24))</f>
        <v/>
      </c>
      <c r="H24" s="41" t="str">
        <f t="shared" si="3"/>
        <v/>
      </c>
      <c r="I24" s="11"/>
      <c r="J24" s="41" t="str">
        <f t="shared" si="5"/>
        <v/>
      </c>
      <c r="K24" s="41" t="str">
        <f t="shared" si="6"/>
        <v/>
      </c>
      <c r="L24" s="48"/>
      <c r="M24" s="9"/>
      <c r="N24" s="49"/>
      <c r="O24" s="49"/>
    </row>
    <row r="25" ht="15.75" customHeight="1">
      <c r="A25" s="45" t="str">
        <f>IFERROR(LOP_04!$A$34,"")</f>
        <v/>
      </c>
      <c r="B25" s="45" t="str">
        <f>IFERROR(LOP_04!$B$34,"")</f>
        <v/>
      </c>
      <c r="C25" s="46" t="str">
        <f>IFERROR(LOP_04!$AH$34,"")</f>
        <v/>
      </c>
      <c r="D25" s="46" t="str">
        <f>IFERROR(LOP_04!$AI$34,"")</f>
        <v/>
      </c>
      <c r="E25" s="41" t="str">
        <f t="shared" si="1"/>
        <v/>
      </c>
      <c r="F25" s="41" t="str">
        <f t="shared" si="2"/>
        <v/>
      </c>
      <c r="G25" s="41" t="str">
        <f>IF(A25="","",SUMIFS(CHUYEN_THANG!$D$4:$D$403,CHUYEN_THANG!$A$4:$A$403,$B$4,CHUYEN_THANG!$B$4:$B$403,A25))</f>
        <v/>
      </c>
      <c r="H25" s="41" t="str">
        <f t="shared" si="3"/>
        <v/>
      </c>
      <c r="I25" s="11"/>
      <c r="J25" s="41" t="str">
        <f t="shared" si="5"/>
        <v/>
      </c>
      <c r="K25" s="41" t="str">
        <f t="shared" si="6"/>
        <v/>
      </c>
      <c r="L25" s="48"/>
      <c r="M25" s="9"/>
      <c r="N25" s="49"/>
      <c r="O25" s="49"/>
    </row>
    <row r="26" ht="15.75" customHeight="1">
      <c r="A26" s="45" t="str">
        <f>IFERROR(LOP_04!$A$35,"")</f>
        <v/>
      </c>
      <c r="B26" s="45" t="str">
        <f>IFERROR(LOP_04!$B$35,"")</f>
        <v/>
      </c>
      <c r="C26" s="46" t="str">
        <f>IFERROR(LOP_04!$AH$35,"")</f>
        <v/>
      </c>
      <c r="D26" s="46" t="str">
        <f>IFERROR(LOP_04!$AI$35,"")</f>
        <v/>
      </c>
      <c r="E26" s="41" t="str">
        <f t="shared" si="1"/>
        <v/>
      </c>
      <c r="F26" s="41" t="str">
        <f t="shared" si="2"/>
        <v/>
      </c>
      <c r="G26" s="41" t="str">
        <f>IF(A26="","",SUMIFS(CHUYEN_THANG!$D$4:$D$403,CHUYEN_THANG!$A$4:$A$403,$B$4,CHUYEN_THANG!$B$4:$B$403,A26))</f>
        <v/>
      </c>
      <c r="H26" s="41" t="str">
        <f t="shared" si="3"/>
        <v/>
      </c>
      <c r="I26" s="11"/>
      <c r="J26" s="41" t="str">
        <f t="shared" si="5"/>
        <v/>
      </c>
      <c r="K26" s="41" t="str">
        <f t="shared" si="6"/>
        <v/>
      </c>
      <c r="L26" s="48"/>
      <c r="M26" s="9"/>
      <c r="N26" s="49"/>
      <c r="O26" s="49"/>
    </row>
    <row r="27" ht="15.75" customHeight="1">
      <c r="A27" s="45" t="str">
        <f>IFERROR(LOP_04!$A$36,"")</f>
        <v/>
      </c>
      <c r="B27" s="45" t="str">
        <f>IFERROR(LOP_04!$B$36,"")</f>
        <v/>
      </c>
      <c r="C27" s="46" t="str">
        <f>IFERROR(LOP_04!$AH$36,"")</f>
        <v/>
      </c>
      <c r="D27" s="46" t="str">
        <f>IFERROR(LOP_04!$AI$36,"")</f>
        <v/>
      </c>
      <c r="E27" s="41" t="str">
        <f t="shared" si="1"/>
        <v/>
      </c>
      <c r="F27" s="41" t="str">
        <f t="shared" si="2"/>
        <v/>
      </c>
      <c r="G27" s="41" t="str">
        <f>IF(A27="","",SUMIFS(CHUYEN_THANG!$D$4:$D$403,CHUYEN_THANG!$A$4:$A$403,$B$4,CHUYEN_THANG!$B$4:$B$403,A27))</f>
        <v/>
      </c>
      <c r="H27" s="41" t="str">
        <f t="shared" si="3"/>
        <v/>
      </c>
      <c r="I27" s="11"/>
      <c r="J27" s="41" t="str">
        <f t="shared" si="5"/>
        <v/>
      </c>
      <c r="K27" s="41" t="str">
        <f t="shared" si="6"/>
        <v/>
      </c>
      <c r="L27" s="48"/>
      <c r="M27" s="9"/>
      <c r="N27" s="49"/>
      <c r="O27" s="49"/>
    </row>
    <row r="28" ht="15.75" customHeight="1">
      <c r="A28" s="45" t="str">
        <f>IFERROR(LOP_04!$A$37,"")</f>
        <v/>
      </c>
      <c r="B28" s="45" t="str">
        <f>IFERROR(LOP_04!$B$37,"")</f>
        <v/>
      </c>
      <c r="C28" s="46" t="str">
        <f>IFERROR(LOP_04!$AH$37,"")</f>
        <v/>
      </c>
      <c r="D28" s="46" t="str">
        <f>IFERROR(LOP_04!$AI$37,"")</f>
        <v/>
      </c>
      <c r="E28" s="41" t="str">
        <f t="shared" si="1"/>
        <v/>
      </c>
      <c r="F28" s="41" t="str">
        <f t="shared" si="2"/>
        <v/>
      </c>
      <c r="G28" s="41" t="str">
        <f>IF(A28="","",SUMIFS(CHUYEN_THANG!$D$4:$D$403,CHUYEN_THANG!$A$4:$A$403,$B$4,CHUYEN_THANG!$B$4:$B$403,A28))</f>
        <v/>
      </c>
      <c r="H28" s="41" t="str">
        <f t="shared" si="3"/>
        <v/>
      </c>
      <c r="I28" s="11"/>
      <c r="J28" s="41" t="str">
        <f t="shared" si="5"/>
        <v/>
      </c>
      <c r="K28" s="41" t="str">
        <f t="shared" si="6"/>
        <v/>
      </c>
      <c r="L28" s="48"/>
      <c r="M28" s="9"/>
      <c r="N28" s="49"/>
      <c r="O28" s="49"/>
    </row>
    <row r="29" ht="15.75" customHeight="1">
      <c r="A29" s="45" t="str">
        <f>IFERROR(LOP_04!$A$38,"")</f>
        <v/>
      </c>
      <c r="B29" s="45" t="str">
        <f>IFERROR(LOP_04!$B$38,"")</f>
        <v/>
      </c>
      <c r="C29" s="46" t="str">
        <f>IFERROR(LOP_04!$AH$38,"")</f>
        <v/>
      </c>
      <c r="D29" s="46" t="str">
        <f>IFERROR(LOP_04!$AI$38,"")</f>
        <v/>
      </c>
      <c r="E29" s="41" t="str">
        <f t="shared" si="1"/>
        <v/>
      </c>
      <c r="F29" s="41" t="str">
        <f t="shared" si="2"/>
        <v/>
      </c>
      <c r="G29" s="41" t="str">
        <f>IF(A29="","",SUMIFS(CHUYEN_THANG!$D$4:$D$403,CHUYEN_THANG!$A$4:$A$403,$B$4,CHUYEN_THANG!$B$4:$B$403,A29))</f>
        <v/>
      </c>
      <c r="H29" s="41" t="str">
        <f t="shared" si="3"/>
        <v/>
      </c>
      <c r="I29" s="11"/>
      <c r="J29" s="41" t="str">
        <f t="shared" si="5"/>
        <v/>
      </c>
      <c r="K29" s="41" t="str">
        <f t="shared" si="6"/>
        <v/>
      </c>
      <c r="L29" s="48"/>
      <c r="M29" s="9"/>
      <c r="N29" s="49"/>
      <c r="O29" s="49"/>
    </row>
    <row r="30" ht="15.75" customHeight="1">
      <c r="A30" s="45" t="str">
        <f>IFERROR(LOP_04!$A$39,"")</f>
        <v/>
      </c>
      <c r="B30" s="45" t="str">
        <f>IFERROR(LOP_04!$B$39,"")</f>
        <v/>
      </c>
      <c r="C30" s="46" t="str">
        <f>IFERROR(LOP_04!$AH$39,"")</f>
        <v/>
      </c>
      <c r="D30" s="46" t="str">
        <f>IFERROR(LOP_04!$AI$39,"")</f>
        <v/>
      </c>
      <c r="E30" s="41" t="str">
        <f t="shared" si="1"/>
        <v/>
      </c>
      <c r="F30" s="41" t="str">
        <f t="shared" si="2"/>
        <v/>
      </c>
      <c r="G30" s="41" t="str">
        <f>IF(A30="","",SUMIFS(CHUYEN_THANG!$D$4:$D$403,CHUYEN_THANG!$A$4:$A$403,$B$4,CHUYEN_THANG!$B$4:$B$403,A30))</f>
        <v/>
      </c>
      <c r="H30" s="41" t="str">
        <f t="shared" si="3"/>
        <v/>
      </c>
      <c r="I30" s="11"/>
      <c r="J30" s="41" t="str">
        <f t="shared" si="5"/>
        <v/>
      </c>
      <c r="K30" s="41" t="str">
        <f t="shared" si="6"/>
        <v/>
      </c>
      <c r="L30" s="48"/>
      <c r="M30" s="9"/>
      <c r="N30" s="49"/>
      <c r="O30" s="49"/>
    </row>
    <row r="31" ht="15.75" customHeight="1">
      <c r="A31" s="45" t="str">
        <f>IFERROR(LOP_04!$A$40,"")</f>
        <v/>
      </c>
      <c r="B31" s="45" t="str">
        <f>IFERROR(LOP_04!$B$40,"")</f>
        <v/>
      </c>
      <c r="C31" s="46" t="str">
        <f>IFERROR(LOP_04!$AH$40,"")</f>
        <v/>
      </c>
      <c r="D31" s="46" t="str">
        <f>IFERROR(LOP_04!$AI$40,"")</f>
        <v/>
      </c>
      <c r="E31" s="41" t="str">
        <f t="shared" si="1"/>
        <v/>
      </c>
      <c r="F31" s="41" t="str">
        <f t="shared" si="2"/>
        <v/>
      </c>
      <c r="G31" s="41" t="str">
        <f>IF(A31="","",SUMIFS(CHUYEN_THANG!$D$4:$D$403,CHUYEN_THANG!$A$4:$A$403,$B$4,CHUYEN_THANG!$B$4:$B$403,A31))</f>
        <v/>
      </c>
      <c r="H31" s="41" t="str">
        <f t="shared" si="3"/>
        <v/>
      </c>
      <c r="I31" s="11"/>
      <c r="J31" s="41" t="str">
        <f t="shared" si="5"/>
        <v/>
      </c>
      <c r="K31" s="41" t="str">
        <f t="shared" si="6"/>
        <v/>
      </c>
      <c r="L31" s="48"/>
      <c r="M31" s="9"/>
      <c r="N31" s="49"/>
      <c r="O31" s="49"/>
    </row>
    <row r="32" ht="15.75" customHeight="1">
      <c r="A32" s="45" t="str">
        <f>IFERROR(LOP_04!$A$41,"")</f>
        <v/>
      </c>
      <c r="B32" s="45" t="str">
        <f>IFERROR(LOP_04!$B$41,"")</f>
        <v/>
      </c>
      <c r="C32" s="46" t="str">
        <f>IFERROR(LOP_04!$AH$41,"")</f>
        <v/>
      </c>
      <c r="D32" s="46" t="str">
        <f>IFERROR(LOP_04!$AI$41,"")</f>
        <v/>
      </c>
      <c r="E32" s="41" t="str">
        <f t="shared" si="1"/>
        <v/>
      </c>
      <c r="F32" s="41" t="str">
        <f t="shared" si="2"/>
        <v/>
      </c>
      <c r="G32" s="41" t="str">
        <f>IF(A32="","",SUMIFS(CHUYEN_THANG!$D$4:$D$403,CHUYEN_THANG!$A$4:$A$403,$B$4,CHUYEN_THANG!$B$4:$B$403,A32))</f>
        <v/>
      </c>
      <c r="H32" s="41" t="str">
        <f t="shared" si="3"/>
        <v/>
      </c>
      <c r="I32" s="11"/>
      <c r="J32" s="41" t="str">
        <f t="shared" si="5"/>
        <v/>
      </c>
      <c r="K32" s="41" t="str">
        <f t="shared" si="6"/>
        <v/>
      </c>
      <c r="L32" s="48"/>
      <c r="M32" s="9"/>
      <c r="N32" s="49"/>
      <c r="O32" s="49"/>
    </row>
    <row r="33" ht="15.75" customHeight="1">
      <c r="A33" s="45" t="str">
        <f>IFERROR(LOP_04!$A$42,"")</f>
        <v/>
      </c>
      <c r="B33" s="45" t="str">
        <f>IFERROR(LOP_04!$B$42,"")</f>
        <v/>
      </c>
      <c r="C33" s="46" t="str">
        <f>IFERROR(LOP_04!$AH$42,"")</f>
        <v/>
      </c>
      <c r="D33" s="46" t="str">
        <f>IFERROR(LOP_04!$AI$42,"")</f>
        <v/>
      </c>
      <c r="E33" s="41" t="str">
        <f t="shared" si="1"/>
        <v/>
      </c>
      <c r="F33" s="41" t="str">
        <f t="shared" si="2"/>
        <v/>
      </c>
      <c r="G33" s="41" t="str">
        <f>IF(A33="","",SUMIFS(CHUYEN_THANG!$D$4:$D$403,CHUYEN_THANG!$A$4:$A$403,$B$4,CHUYEN_THANG!$B$4:$B$403,A33))</f>
        <v/>
      </c>
      <c r="H33" s="41" t="str">
        <f t="shared" si="3"/>
        <v/>
      </c>
      <c r="I33" s="11"/>
      <c r="J33" s="41" t="str">
        <f t="shared" si="5"/>
        <v/>
      </c>
      <c r="K33" s="41" t="str">
        <f t="shared" si="6"/>
        <v/>
      </c>
      <c r="L33" s="48"/>
      <c r="M33" s="9"/>
      <c r="N33" s="49"/>
      <c r="O33" s="49"/>
    </row>
    <row r="34" ht="15.75" customHeight="1">
      <c r="A34" s="45" t="str">
        <f>IFERROR(LOP_04!$A$43,"")</f>
        <v/>
      </c>
      <c r="B34" s="45" t="str">
        <f>IFERROR(LOP_04!$B$43,"")</f>
        <v/>
      </c>
      <c r="C34" s="46" t="str">
        <f>IFERROR(LOP_04!$AH$43,"")</f>
        <v/>
      </c>
      <c r="D34" s="46" t="str">
        <f>IFERROR(LOP_04!$AI$43,"")</f>
        <v/>
      </c>
      <c r="E34" s="41" t="str">
        <f t="shared" si="1"/>
        <v/>
      </c>
      <c r="F34" s="41" t="str">
        <f t="shared" si="2"/>
        <v/>
      </c>
      <c r="G34" s="41" t="str">
        <f>IF(A34="","",SUMIFS(CHUYEN_THANG!$D$4:$D$403,CHUYEN_THANG!$A$4:$A$403,$B$4,CHUYEN_THANG!$B$4:$B$403,A34))</f>
        <v/>
      </c>
      <c r="H34" s="41" t="str">
        <f t="shared" si="3"/>
        <v/>
      </c>
      <c r="I34" s="11"/>
      <c r="J34" s="41" t="str">
        <f t="shared" si="5"/>
        <v/>
      </c>
      <c r="K34" s="41" t="str">
        <f t="shared" si="6"/>
        <v/>
      </c>
      <c r="L34" s="48"/>
      <c r="M34" s="9"/>
      <c r="N34" s="49"/>
      <c r="O34" s="49"/>
    </row>
    <row r="35" ht="15.75" customHeight="1">
      <c r="A35" s="45" t="str">
        <f>IFERROR(LOP_04!$A$44,"")</f>
        <v/>
      </c>
      <c r="B35" s="45" t="str">
        <f>IFERROR(LOP_04!$B$44,"")</f>
        <v/>
      </c>
      <c r="C35" s="46" t="str">
        <f>IFERROR(LOP_04!$AH$44,"")</f>
        <v/>
      </c>
      <c r="D35" s="46" t="str">
        <f>IFERROR(LOP_04!$AI$44,"")</f>
        <v/>
      </c>
      <c r="E35" s="41" t="str">
        <f t="shared" si="1"/>
        <v/>
      </c>
      <c r="F35" s="41" t="str">
        <f t="shared" si="2"/>
        <v/>
      </c>
      <c r="G35" s="41" t="str">
        <f>IF(A35="","",SUMIFS(CHUYEN_THANG!$D$4:$D$403,CHUYEN_THANG!$A$4:$A$403,$B$4,CHUYEN_THANG!$B$4:$B$403,A35))</f>
        <v/>
      </c>
      <c r="H35" s="41" t="str">
        <f t="shared" si="3"/>
        <v/>
      </c>
      <c r="I35" s="11"/>
      <c r="J35" s="41" t="str">
        <f t="shared" si="5"/>
        <v/>
      </c>
      <c r="K35" s="41" t="str">
        <f t="shared" si="6"/>
        <v/>
      </c>
      <c r="L35" s="48"/>
      <c r="M35" s="9"/>
      <c r="N35" s="49"/>
      <c r="O35" s="49"/>
    </row>
    <row r="36" ht="15.75" customHeight="1">
      <c r="A36" s="45" t="str">
        <f>IFERROR(LOP_04!$A$45,"")</f>
        <v/>
      </c>
      <c r="B36" s="45" t="str">
        <f>IFERROR(LOP_04!$B$45,"")</f>
        <v/>
      </c>
      <c r="C36" s="46" t="str">
        <f>IFERROR(LOP_04!$AH$45,"")</f>
        <v/>
      </c>
      <c r="D36" s="46" t="str">
        <f>IFERROR(LOP_04!$AI$45,"")</f>
        <v/>
      </c>
      <c r="E36" s="41" t="str">
        <f t="shared" si="1"/>
        <v/>
      </c>
      <c r="F36" s="41" t="str">
        <f t="shared" si="2"/>
        <v/>
      </c>
      <c r="G36" s="41" t="str">
        <f>IF(A36="","",SUMIFS(CHUYEN_THANG!$D$4:$D$403,CHUYEN_THANG!$A$4:$A$403,$B$4,CHUYEN_THANG!$B$4:$B$403,A36))</f>
        <v/>
      </c>
      <c r="H36" s="41" t="str">
        <f t="shared" si="3"/>
        <v/>
      </c>
      <c r="I36" s="11"/>
      <c r="J36" s="41" t="str">
        <f t="shared" si="5"/>
        <v/>
      </c>
      <c r="K36" s="41" t="str">
        <f t="shared" si="6"/>
        <v/>
      </c>
      <c r="L36" s="48"/>
      <c r="M36" s="9"/>
      <c r="N36" s="49"/>
      <c r="O36" s="49"/>
    </row>
    <row r="37" ht="15.75" customHeight="1">
      <c r="A37" s="45" t="str">
        <f>IFERROR(LOP_04!$A$46,"")</f>
        <v/>
      </c>
      <c r="B37" s="45" t="str">
        <f>IFERROR(LOP_04!$B$46,"")</f>
        <v/>
      </c>
      <c r="C37" s="46" t="str">
        <f>IFERROR(LOP_04!$AH$46,"")</f>
        <v/>
      </c>
      <c r="D37" s="46" t="str">
        <f>IFERROR(LOP_04!$AI$46,"")</f>
        <v/>
      </c>
      <c r="E37" s="41" t="str">
        <f t="shared" si="1"/>
        <v/>
      </c>
      <c r="F37" s="41" t="str">
        <f t="shared" si="2"/>
        <v/>
      </c>
      <c r="G37" s="41" t="str">
        <f>IF(A37="","",SUMIFS(CHUYEN_THANG!$D$4:$D$403,CHUYEN_THANG!$A$4:$A$403,$B$4,CHUYEN_THANG!$B$4:$B$403,A37))</f>
        <v/>
      </c>
      <c r="H37" s="41" t="str">
        <f t="shared" si="3"/>
        <v/>
      </c>
      <c r="I37" s="11"/>
      <c r="J37" s="41" t="str">
        <f t="shared" si="5"/>
        <v/>
      </c>
      <c r="K37" s="41" t="str">
        <f t="shared" si="6"/>
        <v/>
      </c>
      <c r="L37" s="48"/>
      <c r="M37" s="9"/>
      <c r="N37" s="49"/>
      <c r="O37" s="49"/>
    </row>
    <row r="38" ht="15.75" customHeight="1">
      <c r="A38" s="45" t="str">
        <f>IFERROR(LOP_04!$A$47,"")</f>
        <v/>
      </c>
      <c r="B38" s="45" t="str">
        <f>IFERROR(LOP_04!$B$47,"")</f>
        <v/>
      </c>
      <c r="C38" s="46" t="str">
        <f>IFERROR(LOP_04!$AH$47,"")</f>
        <v/>
      </c>
      <c r="D38" s="46" t="str">
        <f>IFERROR(LOP_04!$AI$47,"")</f>
        <v/>
      </c>
      <c r="E38" s="41" t="str">
        <f t="shared" si="1"/>
        <v/>
      </c>
      <c r="F38" s="41" t="str">
        <f t="shared" si="2"/>
        <v/>
      </c>
      <c r="G38" s="41" t="str">
        <f>IF(A38="","",SUMIFS(CHUYEN_THANG!$D$4:$D$403,CHUYEN_THANG!$A$4:$A$403,$B$4,CHUYEN_THANG!$B$4:$B$403,A38))</f>
        <v/>
      </c>
      <c r="H38" s="41" t="str">
        <f t="shared" si="3"/>
        <v/>
      </c>
      <c r="I38" s="11"/>
      <c r="J38" s="41" t="str">
        <f t="shared" si="5"/>
        <v/>
      </c>
      <c r="K38" s="41" t="str">
        <f t="shared" si="6"/>
        <v/>
      </c>
      <c r="L38" s="48"/>
      <c r="M38" s="9"/>
      <c r="N38" s="49"/>
      <c r="O38" s="49"/>
    </row>
    <row r="39" ht="15.75" customHeight="1">
      <c r="A39" s="45" t="str">
        <f>IFERROR(LOP_04!$A$48,"")</f>
        <v/>
      </c>
      <c r="B39" s="45" t="str">
        <f>IFERROR(LOP_04!$B$48,"")</f>
        <v/>
      </c>
      <c r="C39" s="46" t="str">
        <f>IFERROR(LOP_04!$AH$48,"")</f>
        <v/>
      </c>
      <c r="D39" s="46" t="str">
        <f>IFERROR(LOP_04!$AI$48,"")</f>
        <v/>
      </c>
      <c r="E39" s="41" t="str">
        <f t="shared" si="1"/>
        <v/>
      </c>
      <c r="F39" s="41" t="str">
        <f t="shared" si="2"/>
        <v/>
      </c>
      <c r="G39" s="41" t="str">
        <f>IF(A39="","",SUMIFS(CHUYEN_THANG!$D$4:$D$403,CHUYEN_THANG!$A$4:$A$403,$B$4,CHUYEN_THANG!$B$4:$B$403,A39))</f>
        <v/>
      </c>
      <c r="H39" s="41" t="str">
        <f t="shared" si="3"/>
        <v/>
      </c>
      <c r="I39" s="11"/>
      <c r="J39" s="41" t="str">
        <f t="shared" si="5"/>
        <v/>
      </c>
      <c r="K39" s="41" t="str">
        <f t="shared" si="6"/>
        <v/>
      </c>
      <c r="L39" s="48"/>
      <c r="M39" s="9"/>
      <c r="N39" s="49"/>
      <c r="O39" s="49"/>
    </row>
    <row r="40" ht="15.75" customHeight="1">
      <c r="A40" s="45" t="str">
        <f>IFERROR(LOP_04!$A$49,"")</f>
        <v/>
      </c>
      <c r="B40" s="45" t="str">
        <f>IFERROR(LOP_04!$B$49,"")</f>
        <v/>
      </c>
      <c r="C40" s="46" t="str">
        <f>IFERROR(LOP_04!$AH$49,"")</f>
        <v/>
      </c>
      <c r="D40" s="46" t="str">
        <f>IFERROR(LOP_04!$AI$49,"")</f>
        <v/>
      </c>
      <c r="E40" s="41" t="str">
        <f t="shared" si="1"/>
        <v/>
      </c>
      <c r="F40" s="41" t="str">
        <f t="shared" si="2"/>
        <v/>
      </c>
      <c r="G40" s="41" t="str">
        <f>IF(A40="","",SUMIFS(CHUYEN_THANG!$D$4:$D$403,CHUYEN_THANG!$A$4:$A$403,$B$4,CHUYEN_THANG!$B$4:$B$403,A40))</f>
        <v/>
      </c>
      <c r="H40" s="41" t="str">
        <f t="shared" si="3"/>
        <v/>
      </c>
      <c r="I40" s="11"/>
      <c r="J40" s="41" t="str">
        <f t="shared" si="5"/>
        <v/>
      </c>
      <c r="K40" s="41" t="str">
        <f t="shared" si="6"/>
        <v/>
      </c>
      <c r="L40" s="48"/>
      <c r="M40" s="9"/>
      <c r="N40" s="49"/>
      <c r="O40" s="49"/>
    </row>
    <row r="41" ht="15.75" customHeight="1">
      <c r="A41" s="45" t="str">
        <f>IFERROR(LOP_04!$A$50,"")</f>
        <v/>
      </c>
      <c r="B41" s="45" t="str">
        <f>IFERROR(LOP_04!$B$50,"")</f>
        <v/>
      </c>
      <c r="C41" s="46" t="str">
        <f>IFERROR(LOP_04!$AH$50,"")</f>
        <v/>
      </c>
      <c r="D41" s="46" t="str">
        <f>IFERROR(LOP_04!$AI$50,"")</f>
        <v/>
      </c>
      <c r="E41" s="41" t="str">
        <f t="shared" si="1"/>
        <v/>
      </c>
      <c r="F41" s="41" t="str">
        <f t="shared" si="2"/>
        <v/>
      </c>
      <c r="G41" s="41" t="str">
        <f>IF(A41="","",SUMIFS(CHUYEN_THANG!$D$4:$D$403,CHUYEN_THANG!$A$4:$A$403,$B$4,CHUYEN_THANG!$B$4:$B$403,A41))</f>
        <v/>
      </c>
      <c r="H41" s="41" t="str">
        <f t="shared" si="3"/>
        <v/>
      </c>
      <c r="I41" s="11"/>
      <c r="J41" s="41" t="str">
        <f t="shared" si="5"/>
        <v/>
      </c>
      <c r="K41" s="41" t="str">
        <f t="shared" si="6"/>
        <v/>
      </c>
      <c r="L41" s="48"/>
      <c r="M41" s="9"/>
      <c r="N41" s="49"/>
      <c r="O41" s="49"/>
    </row>
    <row r="42" ht="15.75" customHeight="1">
      <c r="A42" s="50"/>
      <c r="B42" s="50"/>
      <c r="C42" s="51"/>
      <c r="D42" s="51"/>
      <c r="E42" s="43"/>
      <c r="F42" s="43"/>
      <c r="G42" s="43"/>
      <c r="H42" s="43"/>
      <c r="I42" s="49"/>
      <c r="J42" s="43"/>
      <c r="K42" s="43"/>
      <c r="L42" s="52"/>
      <c r="M42" s="53"/>
      <c r="N42" s="49"/>
      <c r="O42" s="49"/>
    </row>
    <row r="43" ht="15.75" customHeight="1">
      <c r="A43" s="50"/>
      <c r="B43" s="50"/>
      <c r="C43" s="51"/>
      <c r="D43" s="51"/>
      <c r="E43" s="43"/>
      <c r="F43" s="43"/>
      <c r="G43" s="43"/>
      <c r="H43" s="43"/>
      <c r="I43" s="49"/>
      <c r="J43" s="43"/>
      <c r="K43" s="43"/>
      <c r="L43" s="52"/>
      <c r="M43" s="53"/>
      <c r="N43" s="49"/>
      <c r="O43" s="49"/>
    </row>
    <row r="44" ht="15.75" customHeight="1">
      <c r="A44" s="50"/>
      <c r="B44" s="50"/>
      <c r="C44" s="51"/>
      <c r="D44" s="51"/>
      <c r="E44" s="43"/>
      <c r="F44" s="43"/>
      <c r="G44" s="43"/>
      <c r="H44" s="43"/>
      <c r="I44" s="49"/>
      <c r="J44" s="43"/>
      <c r="K44" s="43"/>
      <c r="L44" s="52"/>
      <c r="M44" s="53"/>
      <c r="N44" s="49"/>
      <c r="O44" s="49"/>
    </row>
    <row r="45" ht="15.75" customHeight="1">
      <c r="A45" s="50"/>
      <c r="B45" s="50"/>
      <c r="C45" s="51"/>
      <c r="D45" s="51"/>
      <c r="E45" s="43"/>
      <c r="F45" s="43"/>
      <c r="G45" s="43"/>
      <c r="H45" s="43"/>
      <c r="I45" s="49"/>
      <c r="J45" s="43"/>
      <c r="K45" s="43"/>
      <c r="L45" s="52"/>
      <c r="M45" s="53"/>
      <c r="N45" s="49"/>
      <c r="O45" s="49"/>
    </row>
    <row r="46" ht="15.75" customHeight="1">
      <c r="A46" s="50"/>
      <c r="B46" s="50"/>
      <c r="C46" s="51"/>
      <c r="D46" s="51"/>
      <c r="E46" s="43"/>
      <c r="F46" s="43"/>
      <c r="G46" s="43"/>
      <c r="H46" s="43"/>
      <c r="I46" s="49"/>
      <c r="J46" s="43"/>
      <c r="K46" s="43"/>
      <c r="L46" s="52"/>
      <c r="M46" s="53"/>
      <c r="N46" s="49"/>
      <c r="O46" s="49"/>
    </row>
    <row r="47" ht="15.75" customHeight="1">
      <c r="A47" s="50"/>
      <c r="B47" s="50"/>
      <c r="C47" s="51"/>
      <c r="D47" s="51"/>
      <c r="E47" s="43"/>
      <c r="F47" s="43"/>
      <c r="G47" s="43"/>
      <c r="H47" s="43"/>
      <c r="I47" s="49"/>
      <c r="J47" s="43"/>
      <c r="K47" s="43"/>
      <c r="L47" s="52"/>
      <c r="M47" s="53"/>
      <c r="N47" s="49"/>
      <c r="O47" s="49"/>
    </row>
    <row r="48" ht="15.75" customHeight="1">
      <c r="A48" s="50"/>
      <c r="B48" s="50"/>
      <c r="C48" s="51"/>
      <c r="D48" s="51"/>
      <c r="E48" s="43"/>
      <c r="F48" s="43"/>
      <c r="G48" s="43"/>
      <c r="H48" s="43"/>
      <c r="I48" s="49"/>
      <c r="J48" s="43"/>
      <c r="K48" s="43"/>
      <c r="L48" s="52"/>
      <c r="M48" s="53"/>
      <c r="N48" s="49"/>
      <c r="O48" s="49"/>
    </row>
    <row r="49" ht="15.75" customHeight="1">
      <c r="A49" s="50"/>
      <c r="B49" s="50"/>
      <c r="C49" s="51"/>
      <c r="D49" s="51"/>
      <c r="E49" s="43"/>
      <c r="F49" s="43"/>
      <c r="G49" s="43"/>
      <c r="H49" s="43"/>
      <c r="I49" s="49"/>
      <c r="J49" s="43"/>
      <c r="K49" s="43"/>
      <c r="L49" s="52"/>
      <c r="M49" s="53"/>
      <c r="N49" s="49"/>
      <c r="O49" s="49"/>
    </row>
    <row r="50" ht="15.75" customHeight="1">
      <c r="A50" s="50"/>
      <c r="B50" s="50"/>
      <c r="C50" s="51"/>
      <c r="D50" s="51"/>
      <c r="E50" s="43"/>
      <c r="F50" s="43"/>
      <c r="G50" s="43"/>
      <c r="H50" s="43"/>
      <c r="I50" s="49"/>
      <c r="J50" s="43"/>
      <c r="K50" s="43"/>
      <c r="L50" s="52"/>
      <c r="M50" s="53"/>
      <c r="N50" s="49"/>
      <c r="O50" s="49"/>
    </row>
    <row r="51" ht="15.75" customHeight="1">
      <c r="A51" s="50"/>
      <c r="B51" s="50"/>
      <c r="C51" s="51"/>
      <c r="D51" s="51"/>
      <c r="E51" s="43"/>
      <c r="F51" s="43"/>
      <c r="G51" s="43"/>
      <c r="H51" s="43"/>
      <c r="I51" s="49"/>
      <c r="J51" s="43"/>
      <c r="K51" s="43"/>
      <c r="L51" s="52"/>
      <c r="M51" s="53"/>
      <c r="N51" s="49"/>
      <c r="O51" s="49"/>
    </row>
    <row r="52" ht="15.75" customHeight="1">
      <c r="A52" s="50"/>
      <c r="B52" s="50"/>
      <c r="C52" s="51"/>
      <c r="D52" s="51"/>
      <c r="E52" s="43"/>
      <c r="F52" s="43"/>
      <c r="G52" s="43"/>
      <c r="H52" s="43"/>
      <c r="I52" s="49"/>
      <c r="J52" s="43"/>
      <c r="K52" s="43"/>
      <c r="L52" s="52"/>
      <c r="M52" s="53"/>
      <c r="N52" s="49"/>
      <c r="O52" s="49"/>
    </row>
    <row r="53" ht="15.75" customHeight="1">
      <c r="A53" s="50"/>
      <c r="B53" s="50"/>
      <c r="C53" s="51"/>
      <c r="D53" s="51"/>
      <c r="E53" s="43"/>
      <c r="F53" s="43"/>
      <c r="G53" s="43"/>
      <c r="H53" s="43"/>
      <c r="I53" s="49"/>
      <c r="J53" s="43"/>
      <c r="K53" s="43"/>
      <c r="L53" s="52"/>
      <c r="M53" s="53"/>
      <c r="N53" s="49"/>
      <c r="O53" s="49"/>
    </row>
    <row r="54" ht="15.75" customHeight="1">
      <c r="A54" s="50"/>
      <c r="B54" s="50"/>
      <c r="C54" s="51"/>
      <c r="D54" s="51"/>
      <c r="E54" s="43"/>
      <c r="F54" s="43"/>
      <c r="G54" s="43"/>
      <c r="H54" s="43"/>
      <c r="I54" s="49"/>
      <c r="J54" s="43"/>
      <c r="K54" s="43"/>
      <c r="L54" s="52"/>
      <c r="M54" s="53"/>
      <c r="N54" s="49"/>
      <c r="O54" s="49"/>
    </row>
    <row r="55" ht="15.75" customHeight="1">
      <c r="A55" s="50"/>
      <c r="B55" s="50"/>
      <c r="C55" s="51"/>
      <c r="D55" s="51"/>
      <c r="E55" s="43"/>
      <c r="F55" s="43"/>
      <c r="G55" s="43"/>
      <c r="H55" s="43"/>
      <c r="I55" s="49"/>
      <c r="J55" s="43"/>
      <c r="K55" s="43"/>
      <c r="L55" s="52"/>
      <c r="M55" s="53"/>
      <c r="N55" s="49"/>
      <c r="O55" s="49"/>
    </row>
    <row r="56" ht="15.75" customHeight="1">
      <c r="A56" s="50"/>
      <c r="B56" s="50"/>
      <c r="C56" s="51"/>
      <c r="D56" s="51"/>
      <c r="E56" s="43"/>
      <c r="F56" s="43"/>
      <c r="G56" s="43"/>
      <c r="H56" s="43"/>
      <c r="I56" s="49"/>
      <c r="J56" s="43"/>
      <c r="K56" s="43"/>
      <c r="L56" s="52"/>
      <c r="M56" s="53"/>
      <c r="N56" s="49"/>
      <c r="O56" s="49"/>
    </row>
    <row r="57" ht="15.75" customHeight="1">
      <c r="A57" s="50"/>
      <c r="B57" s="50"/>
      <c r="C57" s="51"/>
      <c r="D57" s="51"/>
      <c r="E57" s="43"/>
      <c r="F57" s="43"/>
      <c r="G57" s="43"/>
      <c r="H57" s="43"/>
      <c r="I57" s="49"/>
      <c r="J57" s="43"/>
      <c r="K57" s="43"/>
      <c r="L57" s="52"/>
      <c r="M57" s="53"/>
      <c r="N57" s="49"/>
      <c r="O57" s="49"/>
    </row>
    <row r="58" ht="15.75" customHeight="1">
      <c r="A58" s="50"/>
      <c r="B58" s="50"/>
      <c r="C58" s="51"/>
      <c r="D58" s="51"/>
      <c r="E58" s="43"/>
      <c r="F58" s="43"/>
      <c r="G58" s="43"/>
      <c r="H58" s="43"/>
      <c r="I58" s="49"/>
      <c r="J58" s="43"/>
      <c r="K58" s="43"/>
      <c r="L58" s="52"/>
      <c r="M58" s="53"/>
      <c r="N58" s="49"/>
      <c r="O58" s="49"/>
    </row>
    <row r="59" ht="15.75" customHeight="1">
      <c r="A59" s="50"/>
      <c r="B59" s="50"/>
      <c r="C59" s="51"/>
      <c r="D59" s="51"/>
      <c r="E59" s="43"/>
      <c r="F59" s="43"/>
      <c r="G59" s="43"/>
      <c r="H59" s="43"/>
      <c r="I59" s="49"/>
      <c r="J59" s="43"/>
      <c r="K59" s="43"/>
      <c r="L59" s="52"/>
      <c r="M59" s="53"/>
      <c r="N59" s="49"/>
      <c r="O59" s="49"/>
    </row>
    <row r="60" ht="15.75" customHeight="1">
      <c r="A60" s="50"/>
      <c r="B60" s="50"/>
      <c r="C60" s="51"/>
      <c r="D60" s="51"/>
      <c r="E60" s="43"/>
      <c r="F60" s="43"/>
      <c r="G60" s="43"/>
      <c r="H60" s="43"/>
      <c r="I60" s="49"/>
      <c r="J60" s="43"/>
      <c r="K60" s="43"/>
      <c r="L60" s="52"/>
      <c r="M60" s="53"/>
      <c r="N60" s="49"/>
      <c r="O60" s="49"/>
    </row>
    <row r="61" ht="15.75" customHeight="1">
      <c r="A61" s="50"/>
      <c r="B61" s="50"/>
      <c r="C61" s="51"/>
      <c r="D61" s="51"/>
      <c r="E61" s="43"/>
      <c r="F61" s="43"/>
      <c r="G61" s="43"/>
      <c r="H61" s="43"/>
      <c r="I61" s="49"/>
      <c r="J61" s="43"/>
      <c r="K61" s="43"/>
      <c r="L61" s="52"/>
      <c r="M61" s="53"/>
      <c r="N61" s="49"/>
      <c r="O61" s="49"/>
    </row>
    <row r="62" ht="15.75" customHeight="1">
      <c r="A62" s="50"/>
      <c r="B62" s="50"/>
      <c r="C62" s="51"/>
      <c r="D62" s="51"/>
      <c r="E62" s="43"/>
      <c r="F62" s="43"/>
      <c r="G62" s="43"/>
      <c r="H62" s="43"/>
      <c r="I62" s="49"/>
      <c r="J62" s="43"/>
      <c r="K62" s="43"/>
      <c r="L62" s="52"/>
      <c r="M62" s="53"/>
      <c r="N62" s="49"/>
      <c r="O62" s="49"/>
    </row>
    <row r="63" ht="15.75" customHeight="1">
      <c r="A63" s="50"/>
      <c r="B63" s="50"/>
      <c r="C63" s="51"/>
      <c r="D63" s="51"/>
      <c r="E63" s="43"/>
      <c r="F63" s="43"/>
      <c r="G63" s="43"/>
      <c r="H63" s="43"/>
      <c r="I63" s="49"/>
      <c r="J63" s="43"/>
      <c r="K63" s="43"/>
      <c r="L63" s="52"/>
      <c r="M63" s="53"/>
      <c r="N63" s="49"/>
      <c r="O63" s="49"/>
    </row>
    <row r="64" ht="15.75" customHeight="1">
      <c r="A64" s="50"/>
      <c r="B64" s="50"/>
      <c r="C64" s="51"/>
      <c r="D64" s="51"/>
      <c r="E64" s="43"/>
      <c r="F64" s="43"/>
      <c r="G64" s="43"/>
      <c r="H64" s="43"/>
      <c r="I64" s="49"/>
      <c r="J64" s="43"/>
      <c r="K64" s="43"/>
      <c r="L64" s="52"/>
      <c r="M64" s="53"/>
      <c r="N64" s="49"/>
      <c r="O64" s="49"/>
    </row>
    <row r="65" ht="15.75" customHeight="1">
      <c r="A65" s="50"/>
      <c r="B65" s="50"/>
      <c r="C65" s="51"/>
      <c r="D65" s="51"/>
      <c r="E65" s="43"/>
      <c r="F65" s="43"/>
      <c r="G65" s="43"/>
      <c r="H65" s="43"/>
      <c r="I65" s="49"/>
      <c r="J65" s="43"/>
      <c r="K65" s="43"/>
      <c r="L65" s="52"/>
      <c r="M65" s="53"/>
      <c r="N65" s="49"/>
      <c r="O65" s="49"/>
    </row>
    <row r="66" ht="15.75" customHeight="1">
      <c r="A66" s="50"/>
      <c r="B66" s="50"/>
      <c r="C66" s="51"/>
      <c r="D66" s="51"/>
      <c r="E66" s="43"/>
      <c r="F66" s="43"/>
      <c r="G66" s="43"/>
      <c r="H66" s="43"/>
      <c r="I66" s="49"/>
      <c r="J66" s="43"/>
      <c r="K66" s="43"/>
      <c r="L66" s="52"/>
      <c r="M66" s="53"/>
      <c r="N66" s="49"/>
      <c r="O66" s="49"/>
    </row>
    <row r="67" ht="15.75" customHeight="1">
      <c r="A67" s="50"/>
      <c r="B67" s="50"/>
      <c r="C67" s="51"/>
      <c r="D67" s="51"/>
      <c r="E67" s="43"/>
      <c r="F67" s="43"/>
      <c r="G67" s="43"/>
      <c r="H67" s="43"/>
      <c r="I67" s="49"/>
      <c r="J67" s="43"/>
      <c r="K67" s="43"/>
      <c r="L67" s="52"/>
      <c r="M67" s="53"/>
      <c r="N67" s="49"/>
      <c r="O67" s="49"/>
    </row>
    <row r="68" ht="15.75" customHeight="1">
      <c r="A68" s="50"/>
      <c r="B68" s="50"/>
      <c r="C68" s="51"/>
      <c r="D68" s="51"/>
      <c r="E68" s="43"/>
      <c r="F68" s="43"/>
      <c r="G68" s="43"/>
      <c r="H68" s="43"/>
      <c r="I68" s="49"/>
      <c r="J68" s="43"/>
      <c r="K68" s="43"/>
      <c r="L68" s="52"/>
      <c r="M68" s="53"/>
      <c r="N68" s="49"/>
      <c r="O68" s="49"/>
    </row>
    <row r="69" ht="15.75" customHeight="1">
      <c r="A69" s="50"/>
      <c r="B69" s="50"/>
      <c r="C69" s="51"/>
      <c r="D69" s="51"/>
      <c r="E69" s="43"/>
      <c r="F69" s="43"/>
      <c r="G69" s="43"/>
      <c r="H69" s="43"/>
      <c r="I69" s="49"/>
      <c r="J69" s="43"/>
      <c r="K69" s="43"/>
      <c r="L69" s="52"/>
      <c r="M69" s="53"/>
      <c r="N69" s="49"/>
      <c r="O69" s="49"/>
    </row>
    <row r="70" ht="15.75" customHeight="1">
      <c r="A70" s="50"/>
      <c r="B70" s="50"/>
      <c r="C70" s="51"/>
      <c r="D70" s="51"/>
      <c r="E70" s="43"/>
      <c r="F70" s="43"/>
      <c r="G70" s="43"/>
      <c r="H70" s="43"/>
      <c r="I70" s="49"/>
      <c r="J70" s="43"/>
      <c r="K70" s="43"/>
      <c r="L70" s="52"/>
      <c r="M70" s="53"/>
      <c r="N70" s="49"/>
      <c r="O70" s="49"/>
    </row>
    <row r="71" ht="15.75" customHeight="1">
      <c r="A71" s="50"/>
      <c r="B71" s="50"/>
      <c r="C71" s="51"/>
      <c r="D71" s="51"/>
      <c r="E71" s="43"/>
      <c r="F71" s="43"/>
      <c r="G71" s="43"/>
      <c r="H71" s="43"/>
      <c r="I71" s="49"/>
      <c r="J71" s="43"/>
      <c r="K71" s="43"/>
      <c r="L71" s="52"/>
      <c r="M71" s="53"/>
      <c r="N71" s="49"/>
      <c r="O71" s="49"/>
    </row>
    <row r="72" ht="15.75" customHeight="1">
      <c r="A72" s="50"/>
      <c r="B72" s="50"/>
      <c r="C72" s="51"/>
      <c r="D72" s="51"/>
      <c r="E72" s="43"/>
      <c r="F72" s="43"/>
      <c r="G72" s="43"/>
      <c r="H72" s="43"/>
      <c r="I72" s="49"/>
      <c r="J72" s="43"/>
      <c r="K72" s="43"/>
      <c r="L72" s="52"/>
      <c r="M72" s="53"/>
      <c r="N72" s="49"/>
      <c r="O72" s="49"/>
    </row>
    <row r="73" ht="15.75" customHeight="1">
      <c r="A73" s="50"/>
      <c r="B73" s="50"/>
      <c r="C73" s="51"/>
      <c r="D73" s="51"/>
      <c r="E73" s="43"/>
      <c r="F73" s="43"/>
      <c r="G73" s="43"/>
      <c r="H73" s="43"/>
      <c r="I73" s="49"/>
      <c r="J73" s="43"/>
      <c r="K73" s="43"/>
      <c r="L73" s="52"/>
      <c r="M73" s="53"/>
      <c r="N73" s="49"/>
      <c r="O73" s="49"/>
    </row>
    <row r="74" ht="15.75" customHeight="1">
      <c r="A74" s="50"/>
      <c r="B74" s="50"/>
      <c r="C74" s="51"/>
      <c r="D74" s="51"/>
      <c r="E74" s="43"/>
      <c r="F74" s="43"/>
      <c r="G74" s="43"/>
      <c r="H74" s="43"/>
      <c r="I74" s="49"/>
      <c r="J74" s="43"/>
      <c r="K74" s="43"/>
      <c r="L74" s="52"/>
      <c r="M74" s="53"/>
      <c r="N74" s="49"/>
      <c r="O74" s="49"/>
    </row>
    <row r="75" ht="15.75" customHeight="1">
      <c r="A75" s="50"/>
      <c r="B75" s="50"/>
      <c r="C75" s="51"/>
      <c r="D75" s="51"/>
      <c r="E75" s="43"/>
      <c r="F75" s="43"/>
      <c r="G75" s="43"/>
      <c r="H75" s="43"/>
      <c r="I75" s="49"/>
      <c r="J75" s="43"/>
      <c r="K75" s="43"/>
      <c r="L75" s="52"/>
      <c r="M75" s="53"/>
      <c r="N75" s="49"/>
      <c r="O75" s="49"/>
    </row>
    <row r="76" ht="15.75" customHeight="1">
      <c r="A76" s="50"/>
      <c r="B76" s="50"/>
      <c r="C76" s="51"/>
      <c r="D76" s="51"/>
      <c r="E76" s="43"/>
      <c r="F76" s="43"/>
      <c r="G76" s="43"/>
      <c r="H76" s="43"/>
      <c r="I76" s="49"/>
      <c r="J76" s="43"/>
      <c r="K76" s="43"/>
      <c r="L76" s="52"/>
      <c r="M76" s="53"/>
      <c r="N76" s="49"/>
      <c r="O76" s="49"/>
    </row>
    <row r="77" ht="15.75" customHeight="1">
      <c r="A77" s="50"/>
      <c r="B77" s="50"/>
      <c r="C77" s="51"/>
      <c r="D77" s="51"/>
      <c r="E77" s="43"/>
      <c r="F77" s="43"/>
      <c r="G77" s="43"/>
      <c r="H77" s="43"/>
      <c r="I77" s="49"/>
      <c r="J77" s="43"/>
      <c r="K77" s="43"/>
      <c r="L77" s="52"/>
      <c r="M77" s="53"/>
      <c r="N77" s="49"/>
      <c r="O77" s="49"/>
    </row>
    <row r="78" ht="15.75" customHeight="1">
      <c r="A78" s="50"/>
      <c r="B78" s="50"/>
      <c r="C78" s="51"/>
      <c r="D78" s="51"/>
      <c r="E78" s="43"/>
      <c r="F78" s="43"/>
      <c r="G78" s="43"/>
      <c r="H78" s="43"/>
      <c r="I78" s="49"/>
      <c r="J78" s="43"/>
      <c r="K78" s="43"/>
      <c r="L78" s="52"/>
      <c r="M78" s="53"/>
      <c r="N78" s="49"/>
      <c r="O78" s="49"/>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
    <mergeCell ref="A1:M1"/>
  </mergeCells>
  <conditionalFormatting sqref="J14:J41">
    <cfRule type="cellIs" dxfId="3" priority="1" operator="greaterThan">
      <formula>0</formula>
    </cfRule>
  </conditionalFormatting>
  <conditionalFormatting sqref="J14:J78">
    <cfRule type="expression" dxfId="1" priority="2">
      <formula>J14&gt;0</formula>
    </cfRule>
  </conditionalFormatting>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25.0"/>
    <col customWidth="1" min="3" max="4" width="9.0"/>
    <col customWidth="1" min="5" max="7" width="16.0"/>
    <col customWidth="1" min="8" max="10" width="13.0"/>
    <col customWidth="1" min="11" max="11" width="16.0"/>
    <col customWidth="1" min="12" max="12" width="13.0"/>
    <col customWidth="1" min="13" max="13" width="32.0"/>
    <col customWidth="1" min="14" max="15" width="16.0"/>
  </cols>
  <sheetData>
    <row r="1" ht="30.0" customHeight="1">
      <c r="A1" s="1" t="s">
        <v>117</v>
      </c>
      <c r="N1" s="2"/>
      <c r="O1" s="2"/>
    </row>
    <row r="2">
      <c r="A2" s="3"/>
      <c r="B2" s="3"/>
      <c r="C2" s="3"/>
      <c r="D2" s="3"/>
      <c r="E2" s="3"/>
      <c r="F2" s="3"/>
      <c r="G2" s="3"/>
      <c r="H2" s="3"/>
      <c r="I2" s="3"/>
      <c r="J2" s="3"/>
      <c r="K2" s="3"/>
      <c r="L2" s="3"/>
      <c r="M2" s="3"/>
      <c r="N2" s="3"/>
      <c r="O2" s="3"/>
    </row>
    <row r="3">
      <c r="A3" s="4" t="s">
        <v>95</v>
      </c>
      <c r="B3" s="4" t="s">
        <v>6</v>
      </c>
      <c r="C3" s="3"/>
      <c r="D3" s="4" t="s">
        <v>96</v>
      </c>
      <c r="E3" s="4" t="s">
        <v>6</v>
      </c>
      <c r="F3" s="3"/>
      <c r="G3" s="3"/>
      <c r="H3" s="3"/>
      <c r="I3" s="3"/>
      <c r="J3" s="3"/>
      <c r="K3" s="3"/>
      <c r="L3" s="3"/>
      <c r="M3" s="3"/>
      <c r="N3" s="3"/>
      <c r="O3" s="3"/>
    </row>
    <row r="4">
      <c r="A4" s="38" t="s">
        <v>10</v>
      </c>
      <c r="B4" s="39" t="str">
        <f>IF(DANH_MUC_LOP!B8="","",DANH_MUC_LOP!B8)</f>
        <v/>
      </c>
      <c r="C4" s="3"/>
      <c r="D4" s="40" t="s">
        <v>97</v>
      </c>
      <c r="E4" s="41">
        <f>SUM(J14:J43)</f>
        <v>0</v>
      </c>
      <c r="F4" s="3"/>
      <c r="G4" s="3"/>
      <c r="H4" s="3"/>
      <c r="I4" s="3"/>
      <c r="J4" s="3"/>
      <c r="K4" s="3"/>
      <c r="L4" s="3"/>
      <c r="M4" s="3"/>
      <c r="N4" s="3"/>
      <c r="O4" s="3"/>
    </row>
    <row r="5">
      <c r="A5" s="38" t="s">
        <v>19</v>
      </c>
      <c r="B5" s="39" t="str">
        <f>IF(DANH_MUC_LOP!C8="","",DANH_MUC_LOP!C8)</f>
        <v/>
      </c>
      <c r="C5" s="3"/>
      <c r="D5" s="40" t="s">
        <v>65</v>
      </c>
      <c r="E5" s="41">
        <f>SUM(K14:K43)</f>
        <v>0</v>
      </c>
      <c r="F5" s="3"/>
      <c r="G5" s="3"/>
      <c r="H5" s="3"/>
      <c r="I5" s="3"/>
      <c r="J5" s="3"/>
      <c r="K5" s="3"/>
      <c r="L5" s="3"/>
      <c r="M5" s="3"/>
      <c r="N5" s="3"/>
      <c r="O5" s="3"/>
    </row>
    <row r="6">
      <c r="A6" s="38" t="s">
        <v>98</v>
      </c>
      <c r="B6" s="39" t="str">
        <f>IFERROR(IF(DANH_MUC_LOP!R8&gt;0,DANH_MUC_LOP!R8,LOP_05!$B$16),0)</f>
        <v/>
      </c>
      <c r="C6" s="3"/>
      <c r="D6" s="40" t="s">
        <v>99</v>
      </c>
      <c r="E6" s="41">
        <f>IF(B4="",0,SUMIF(THUONG_HOC_SINH!$A$4:$A$83,B4,THUONG_HOC_SINH!$D$4:$D$83))</f>
        <v>0</v>
      </c>
      <c r="F6" s="3"/>
      <c r="G6" s="3"/>
      <c r="H6" s="3"/>
      <c r="I6" s="3"/>
      <c r="J6" s="3"/>
      <c r="K6" s="3"/>
      <c r="L6" s="3"/>
      <c r="M6" s="3"/>
      <c r="N6" s="3"/>
      <c r="O6" s="3"/>
    </row>
    <row r="7">
      <c r="A7" s="38" t="s">
        <v>23</v>
      </c>
      <c r="B7" s="41" t="str">
        <f>IF(DANH_MUC_LOP!B8="","",DANH_MUC_LOP!F8)</f>
        <v/>
      </c>
      <c r="C7" s="3"/>
      <c r="D7" s="42"/>
      <c r="E7" s="43"/>
      <c r="F7" s="3"/>
      <c r="G7" s="3"/>
      <c r="H7" s="3"/>
      <c r="I7" s="3"/>
      <c r="J7" s="3"/>
      <c r="K7" s="3"/>
      <c r="L7" s="3"/>
      <c r="M7" s="3"/>
      <c r="N7" s="3"/>
      <c r="O7" s="3"/>
    </row>
    <row r="8">
      <c r="A8" s="38" t="s">
        <v>31</v>
      </c>
      <c r="B8" s="39" t="str">
        <f>IF(DANH_MUC_LOP!B8="","",DANH_MUC_LOP!N8)</f>
        <v/>
      </c>
      <c r="C8" s="3"/>
      <c r="D8" s="42"/>
      <c r="E8" s="43"/>
      <c r="F8" s="3"/>
      <c r="G8" s="3"/>
      <c r="H8" s="3"/>
      <c r="I8" s="3"/>
      <c r="J8" s="3"/>
      <c r="K8" s="3"/>
      <c r="L8" s="3"/>
      <c r="M8" s="3"/>
      <c r="N8" s="3"/>
      <c r="O8" s="3"/>
    </row>
    <row r="9">
      <c r="A9" s="38" t="s">
        <v>100</v>
      </c>
      <c r="B9" s="39">
        <f>COUNTIF(A14:A43,"?*")</f>
        <v>0</v>
      </c>
      <c r="C9" s="3"/>
      <c r="D9" s="42"/>
      <c r="E9" s="43"/>
      <c r="F9" s="3"/>
      <c r="G9" s="3"/>
      <c r="H9" s="3"/>
      <c r="I9" s="3"/>
      <c r="J9" s="3"/>
      <c r="K9" s="3"/>
      <c r="L9" s="3"/>
      <c r="M9" s="3"/>
      <c r="N9" s="3"/>
      <c r="O9" s="3"/>
    </row>
    <row r="10">
      <c r="A10" s="38" t="s">
        <v>101</v>
      </c>
      <c r="B10" s="41">
        <f>SUM(H14:H43)</f>
        <v>0</v>
      </c>
      <c r="C10" s="3"/>
      <c r="D10" s="42"/>
      <c r="E10" s="43"/>
      <c r="F10" s="3"/>
      <c r="G10" s="3"/>
      <c r="H10" s="3"/>
      <c r="I10" s="3"/>
      <c r="J10" s="3"/>
      <c r="K10" s="3"/>
      <c r="L10" s="3"/>
      <c r="M10" s="3"/>
      <c r="N10" s="3"/>
      <c r="O10" s="3"/>
    </row>
    <row r="11">
      <c r="A11" s="38" t="s">
        <v>102</v>
      </c>
      <c r="B11" s="41">
        <f>SUM(I14:I43)</f>
        <v>0</v>
      </c>
      <c r="C11" s="3"/>
      <c r="D11" s="42"/>
      <c r="E11" s="43"/>
      <c r="F11" s="3"/>
      <c r="G11" s="3"/>
      <c r="H11" s="3"/>
      <c r="I11" s="3"/>
      <c r="J11" s="3"/>
      <c r="K11" s="3"/>
      <c r="L11" s="3"/>
      <c r="M11" s="3"/>
      <c r="N11" s="3"/>
      <c r="O11" s="3"/>
    </row>
    <row r="12">
      <c r="A12" s="3"/>
      <c r="B12" s="3"/>
      <c r="C12" s="3"/>
      <c r="D12" s="3"/>
      <c r="E12" s="3"/>
      <c r="F12" s="3"/>
      <c r="G12" s="3"/>
      <c r="H12" s="3"/>
      <c r="I12" s="3"/>
      <c r="J12" s="3"/>
      <c r="K12" s="3"/>
      <c r="L12" s="3"/>
      <c r="M12" s="3"/>
      <c r="N12" s="3"/>
      <c r="O12" s="3"/>
    </row>
    <row r="13" ht="27.75" customHeight="1">
      <c r="A13" s="5" t="s">
        <v>14</v>
      </c>
      <c r="B13" s="5" t="s">
        <v>16</v>
      </c>
      <c r="C13" s="5" t="s">
        <v>104</v>
      </c>
      <c r="D13" s="5" t="s">
        <v>105</v>
      </c>
      <c r="E13" s="5" t="s">
        <v>106</v>
      </c>
      <c r="F13" s="5" t="s">
        <v>107</v>
      </c>
      <c r="G13" s="5" t="s">
        <v>64</v>
      </c>
      <c r="H13" s="5" t="s">
        <v>108</v>
      </c>
      <c r="I13" s="5" t="s">
        <v>102</v>
      </c>
      <c r="J13" s="5" t="s">
        <v>97</v>
      </c>
      <c r="K13" s="5" t="s">
        <v>65</v>
      </c>
      <c r="L13" s="5" t="s">
        <v>109</v>
      </c>
      <c r="M13" s="5" t="s">
        <v>15</v>
      </c>
      <c r="N13" s="5" t="s">
        <v>110</v>
      </c>
      <c r="O13" s="5" t="s">
        <v>111</v>
      </c>
    </row>
    <row r="14">
      <c r="A14" s="45" t="str">
        <f>IFERROR(LOP_05!$A$21,"")</f>
        <v/>
      </c>
      <c r="B14" s="45" t="str">
        <f>IFERROR(LOP_05!$B$21,"")</f>
        <v/>
      </c>
      <c r="C14" s="46" t="str">
        <f>IFERROR(LOP_05!$AH$21,"")</f>
        <v/>
      </c>
      <c r="D14" s="46" t="str">
        <f>IFERROR(LOP_05!$AI$21,"")</f>
        <v/>
      </c>
      <c r="E14" s="41" t="str">
        <f t="shared" ref="E14:E43" si="1">IF(A14="","",$B$7)</f>
        <v/>
      </c>
      <c r="F14" s="41" t="str">
        <f t="shared" ref="F14:F43" si="2">IF(A14="","",IF($B$8="Thu trước",$B$6*E14,C14*E14))</f>
        <v/>
      </c>
      <c r="G14" s="41" t="str">
        <f>IF(A14="","",SUMIFS(CHUYEN_THANG!$D$4:$D$403,CHUYEN_THANG!$A$4:$A$403,$B$4,CHUYEN_THANG!$B$4:$B$403,A14))</f>
        <v/>
      </c>
      <c r="H14" s="41" t="str">
        <f t="shared" ref="H14:H43" si="3">IF(A14="","",IF(O14&lt;&gt;"",MAX(0,O14),MAX(0,F14-G14+N14)))</f>
        <v/>
      </c>
      <c r="I14" s="11"/>
      <c r="J14" s="41" t="str">
        <f t="shared" ref="J14:J43" si="4">IF(A14="","",MAX(0,H14-I14))</f>
        <v/>
      </c>
      <c r="K14" s="41" t="str">
        <f t="shared" ref="K14:K43" si="5">IF(A14="","",IF($B$8="Thu trước",D14*E14,0))</f>
        <v/>
      </c>
      <c r="L14" s="48"/>
      <c r="M14" s="9"/>
      <c r="N14" s="49"/>
      <c r="O14" s="49"/>
    </row>
    <row r="15">
      <c r="A15" s="45" t="str">
        <f>IFERROR(LOP_05!$A$22,"")</f>
        <v/>
      </c>
      <c r="B15" s="45" t="str">
        <f>IFERROR(LOP_05!$B$22,"")</f>
        <v/>
      </c>
      <c r="C15" s="46" t="str">
        <f>IFERROR(LOP_05!$AH$22,"")</f>
        <v/>
      </c>
      <c r="D15" s="46" t="str">
        <f>IFERROR(LOP_05!$AI$22,"")</f>
        <v/>
      </c>
      <c r="E15" s="41" t="str">
        <f t="shared" si="1"/>
        <v/>
      </c>
      <c r="F15" s="41" t="str">
        <f t="shared" si="2"/>
        <v/>
      </c>
      <c r="G15" s="41" t="str">
        <f>IF(A15="","",SUMIFS(CHUYEN_THANG!$D$4:$D$403,CHUYEN_THANG!$A$4:$A$403,$B$4,CHUYEN_THANG!$B$4:$B$403,A15))</f>
        <v/>
      </c>
      <c r="H15" s="41" t="str">
        <f t="shared" si="3"/>
        <v/>
      </c>
      <c r="I15" s="11"/>
      <c r="J15" s="41" t="str">
        <f t="shared" si="4"/>
        <v/>
      </c>
      <c r="K15" s="41" t="str">
        <f t="shared" si="5"/>
        <v/>
      </c>
      <c r="L15" s="48"/>
      <c r="M15" s="9"/>
      <c r="N15" s="49"/>
      <c r="O15" s="49"/>
    </row>
    <row r="16">
      <c r="A16" s="45" t="str">
        <f>IFERROR(LOP_05!$A$23,"")</f>
        <v/>
      </c>
      <c r="B16" s="45" t="str">
        <f>IFERROR(LOP_05!$B$23,"")</f>
        <v/>
      </c>
      <c r="C16" s="46" t="str">
        <f>IFERROR(LOP_05!$AH$23,"")</f>
        <v/>
      </c>
      <c r="D16" s="46" t="str">
        <f>IFERROR(LOP_05!$AI$23,"")</f>
        <v/>
      </c>
      <c r="E16" s="41" t="str">
        <f t="shared" si="1"/>
        <v/>
      </c>
      <c r="F16" s="41" t="str">
        <f t="shared" si="2"/>
        <v/>
      </c>
      <c r="G16" s="41" t="str">
        <f>IF(A16="","",SUMIFS(CHUYEN_THANG!$D$4:$D$403,CHUYEN_THANG!$A$4:$A$403,$B$4,CHUYEN_THANG!$B$4:$B$403,A16))</f>
        <v/>
      </c>
      <c r="H16" s="41" t="str">
        <f t="shared" si="3"/>
        <v/>
      </c>
      <c r="I16" s="11"/>
      <c r="J16" s="41" t="str">
        <f t="shared" si="4"/>
        <v/>
      </c>
      <c r="K16" s="41" t="str">
        <f t="shared" si="5"/>
        <v/>
      </c>
      <c r="L16" s="48"/>
      <c r="M16" s="9"/>
      <c r="N16" s="49"/>
      <c r="O16" s="49"/>
    </row>
    <row r="17">
      <c r="A17" s="45" t="str">
        <f>IFERROR(LOP_05!$A$24,"")</f>
        <v/>
      </c>
      <c r="B17" s="45" t="str">
        <f>IFERROR(LOP_05!$B$24,"")</f>
        <v/>
      </c>
      <c r="C17" s="46" t="str">
        <f>IFERROR(LOP_05!$AH$24,"")</f>
        <v/>
      </c>
      <c r="D17" s="46" t="str">
        <f>IFERROR(LOP_05!$AI$24,"")</f>
        <v/>
      </c>
      <c r="E17" s="41" t="str">
        <f t="shared" si="1"/>
        <v/>
      </c>
      <c r="F17" s="41" t="str">
        <f t="shared" si="2"/>
        <v/>
      </c>
      <c r="G17" s="41" t="str">
        <f>IF(A17="","",SUMIFS(CHUYEN_THANG!$D$4:$D$403,CHUYEN_THANG!$A$4:$A$403,$B$4,CHUYEN_THANG!$B$4:$B$403,A17))</f>
        <v/>
      </c>
      <c r="H17" s="41" t="str">
        <f t="shared" si="3"/>
        <v/>
      </c>
      <c r="I17" s="11"/>
      <c r="J17" s="41" t="str">
        <f t="shared" si="4"/>
        <v/>
      </c>
      <c r="K17" s="41" t="str">
        <f t="shared" si="5"/>
        <v/>
      </c>
      <c r="L17" s="48"/>
      <c r="M17" s="9"/>
      <c r="N17" s="49"/>
      <c r="O17" s="49"/>
    </row>
    <row r="18">
      <c r="A18" s="45" t="str">
        <f>IFERROR(LOP_05!$A$25,"")</f>
        <v/>
      </c>
      <c r="B18" s="45" t="str">
        <f>IFERROR(LOP_05!$B$25,"")</f>
        <v/>
      </c>
      <c r="C18" s="46" t="str">
        <f>IFERROR(LOP_05!$AH$25,"")</f>
        <v/>
      </c>
      <c r="D18" s="46" t="str">
        <f>IFERROR(LOP_05!$AI$25,"")</f>
        <v/>
      </c>
      <c r="E18" s="41" t="str">
        <f t="shared" si="1"/>
        <v/>
      </c>
      <c r="F18" s="41" t="str">
        <f t="shared" si="2"/>
        <v/>
      </c>
      <c r="G18" s="41" t="str">
        <f>IF(A18="","",SUMIFS(CHUYEN_THANG!$D$4:$D$403,CHUYEN_THANG!$A$4:$A$403,$B$4,CHUYEN_THANG!$B$4:$B$403,A18))</f>
        <v/>
      </c>
      <c r="H18" s="41" t="str">
        <f t="shared" si="3"/>
        <v/>
      </c>
      <c r="I18" s="11"/>
      <c r="J18" s="41" t="str">
        <f t="shared" si="4"/>
        <v/>
      </c>
      <c r="K18" s="41" t="str">
        <f t="shared" si="5"/>
        <v/>
      </c>
      <c r="L18" s="48"/>
      <c r="M18" s="9"/>
      <c r="N18" s="49"/>
      <c r="O18" s="49"/>
    </row>
    <row r="19">
      <c r="A19" s="45" t="str">
        <f>IFERROR(LOP_05!$A$26,"")</f>
        <v/>
      </c>
      <c r="B19" s="45" t="str">
        <f>IFERROR(LOP_05!$B$26,"")</f>
        <v/>
      </c>
      <c r="C19" s="46" t="str">
        <f>IFERROR(LOP_05!$AH$26,"")</f>
        <v/>
      </c>
      <c r="D19" s="46" t="str">
        <f>IFERROR(LOP_05!$AI$26,"")</f>
        <v/>
      </c>
      <c r="E19" s="41" t="str">
        <f t="shared" si="1"/>
        <v/>
      </c>
      <c r="F19" s="41" t="str">
        <f t="shared" si="2"/>
        <v/>
      </c>
      <c r="G19" s="41" t="str">
        <f>IF(A19="","",SUMIFS(CHUYEN_THANG!$D$4:$D$403,CHUYEN_THANG!$A$4:$A$403,$B$4,CHUYEN_THANG!$B$4:$B$403,A19))</f>
        <v/>
      </c>
      <c r="H19" s="41" t="str">
        <f t="shared" si="3"/>
        <v/>
      </c>
      <c r="I19" s="11"/>
      <c r="J19" s="41" t="str">
        <f t="shared" si="4"/>
        <v/>
      </c>
      <c r="K19" s="41" t="str">
        <f t="shared" si="5"/>
        <v/>
      </c>
      <c r="L19" s="48"/>
      <c r="M19" s="9"/>
      <c r="N19" s="49"/>
      <c r="O19" s="49"/>
    </row>
    <row r="20">
      <c r="A20" s="45" t="str">
        <f>IFERROR(LOP_05!$A$27,"")</f>
        <v/>
      </c>
      <c r="B20" s="45" t="str">
        <f>IFERROR(LOP_05!$B$27,"")</f>
        <v/>
      </c>
      <c r="C20" s="46" t="str">
        <f>IFERROR(LOP_05!$AH$27,"")</f>
        <v/>
      </c>
      <c r="D20" s="46" t="str">
        <f>IFERROR(LOP_05!$AI$27,"")</f>
        <v/>
      </c>
      <c r="E20" s="41" t="str">
        <f t="shared" si="1"/>
        <v/>
      </c>
      <c r="F20" s="41" t="str">
        <f t="shared" si="2"/>
        <v/>
      </c>
      <c r="G20" s="41" t="str">
        <f>IF(A20="","",SUMIFS(CHUYEN_THANG!$D$4:$D$403,CHUYEN_THANG!$A$4:$A$403,$B$4,CHUYEN_THANG!$B$4:$B$403,A20))</f>
        <v/>
      </c>
      <c r="H20" s="41" t="str">
        <f t="shared" si="3"/>
        <v/>
      </c>
      <c r="I20" s="11"/>
      <c r="J20" s="41" t="str">
        <f t="shared" si="4"/>
        <v/>
      </c>
      <c r="K20" s="41" t="str">
        <f t="shared" si="5"/>
        <v/>
      </c>
      <c r="L20" s="48"/>
      <c r="M20" s="9"/>
      <c r="N20" s="49"/>
      <c r="O20" s="49"/>
    </row>
    <row r="21" ht="15.75" customHeight="1">
      <c r="A21" s="45" t="str">
        <f>IFERROR(LOP_05!$A$28,"")</f>
        <v/>
      </c>
      <c r="B21" s="45" t="str">
        <f>IFERROR(LOP_05!$B$28,"")</f>
        <v/>
      </c>
      <c r="C21" s="46" t="str">
        <f>IFERROR(LOP_05!$AH$28,"")</f>
        <v/>
      </c>
      <c r="D21" s="46" t="str">
        <f>IFERROR(LOP_05!$AI$28,"")</f>
        <v/>
      </c>
      <c r="E21" s="41" t="str">
        <f t="shared" si="1"/>
        <v/>
      </c>
      <c r="F21" s="41" t="str">
        <f t="shared" si="2"/>
        <v/>
      </c>
      <c r="G21" s="41" t="str">
        <f>IF(A21="","",SUMIFS(CHUYEN_THANG!$D$4:$D$403,CHUYEN_THANG!$A$4:$A$403,$B$4,CHUYEN_THANG!$B$4:$B$403,A21))</f>
        <v/>
      </c>
      <c r="H21" s="41" t="str">
        <f t="shared" si="3"/>
        <v/>
      </c>
      <c r="I21" s="11"/>
      <c r="J21" s="41" t="str">
        <f t="shared" si="4"/>
        <v/>
      </c>
      <c r="K21" s="41" t="str">
        <f t="shared" si="5"/>
        <v/>
      </c>
      <c r="L21" s="48"/>
      <c r="M21" s="9"/>
      <c r="N21" s="49"/>
      <c r="O21" s="49"/>
    </row>
    <row r="22" ht="15.75" customHeight="1">
      <c r="A22" s="45" t="str">
        <f>IFERROR(LOP_05!$A$29,"")</f>
        <v/>
      </c>
      <c r="B22" s="45" t="str">
        <f>IFERROR(LOP_05!$B$29,"")</f>
        <v/>
      </c>
      <c r="C22" s="46" t="str">
        <f>IFERROR(LOP_05!$AH$29,"")</f>
        <v/>
      </c>
      <c r="D22" s="46" t="str">
        <f>IFERROR(LOP_05!$AI$29,"")</f>
        <v/>
      </c>
      <c r="E22" s="41" t="str">
        <f t="shared" si="1"/>
        <v/>
      </c>
      <c r="F22" s="41" t="str">
        <f t="shared" si="2"/>
        <v/>
      </c>
      <c r="G22" s="41" t="str">
        <f>IF(A22="","",SUMIFS(CHUYEN_THANG!$D$4:$D$403,CHUYEN_THANG!$A$4:$A$403,$B$4,CHUYEN_THANG!$B$4:$B$403,A22))</f>
        <v/>
      </c>
      <c r="H22" s="41" t="str">
        <f t="shared" si="3"/>
        <v/>
      </c>
      <c r="I22" s="11"/>
      <c r="J22" s="41" t="str">
        <f t="shared" si="4"/>
        <v/>
      </c>
      <c r="K22" s="41" t="str">
        <f t="shared" si="5"/>
        <v/>
      </c>
      <c r="L22" s="48"/>
      <c r="M22" s="9"/>
      <c r="N22" s="49"/>
      <c r="O22" s="49"/>
    </row>
    <row r="23" ht="15.75" customHeight="1">
      <c r="A23" s="45" t="str">
        <f>IFERROR(LOP_05!$A$30,"")</f>
        <v/>
      </c>
      <c r="B23" s="45" t="str">
        <f>IFERROR(LOP_05!$B$30,"")</f>
        <v/>
      </c>
      <c r="C23" s="46" t="str">
        <f>IFERROR(LOP_05!$AH$30,"")</f>
        <v/>
      </c>
      <c r="D23" s="46" t="str">
        <f>IFERROR(LOP_05!$AI$30,"")</f>
        <v/>
      </c>
      <c r="E23" s="41" t="str">
        <f t="shared" si="1"/>
        <v/>
      </c>
      <c r="F23" s="41" t="str">
        <f t="shared" si="2"/>
        <v/>
      </c>
      <c r="G23" s="41" t="str">
        <f>IF(A23="","",SUMIFS(CHUYEN_THANG!$D$4:$D$403,CHUYEN_THANG!$A$4:$A$403,$B$4,CHUYEN_THANG!$B$4:$B$403,A23))</f>
        <v/>
      </c>
      <c r="H23" s="41" t="str">
        <f t="shared" si="3"/>
        <v/>
      </c>
      <c r="I23" s="11"/>
      <c r="J23" s="41" t="str">
        <f t="shared" si="4"/>
        <v/>
      </c>
      <c r="K23" s="41" t="str">
        <f t="shared" si="5"/>
        <v/>
      </c>
      <c r="L23" s="48"/>
      <c r="M23" s="9"/>
      <c r="N23" s="49"/>
      <c r="O23" s="49"/>
    </row>
    <row r="24" ht="15.75" customHeight="1">
      <c r="A24" s="45" t="str">
        <f>IFERROR(LOP_05!$A$31,"")</f>
        <v/>
      </c>
      <c r="B24" s="45" t="str">
        <f>IFERROR(LOP_05!$B$31,"")</f>
        <v/>
      </c>
      <c r="C24" s="46" t="str">
        <f>IFERROR(LOP_05!$AH$31,"")</f>
        <v/>
      </c>
      <c r="D24" s="46" t="str">
        <f>IFERROR(LOP_05!$AI$31,"")</f>
        <v/>
      </c>
      <c r="E24" s="41" t="str">
        <f t="shared" si="1"/>
        <v/>
      </c>
      <c r="F24" s="41" t="str">
        <f t="shared" si="2"/>
        <v/>
      </c>
      <c r="G24" s="41" t="str">
        <f>IF(A24="","",SUMIFS(CHUYEN_THANG!$D$4:$D$403,CHUYEN_THANG!$A$4:$A$403,$B$4,CHUYEN_THANG!$B$4:$B$403,A24))</f>
        <v/>
      </c>
      <c r="H24" s="41" t="str">
        <f t="shared" si="3"/>
        <v/>
      </c>
      <c r="I24" s="11"/>
      <c r="J24" s="41" t="str">
        <f t="shared" si="4"/>
        <v/>
      </c>
      <c r="K24" s="41" t="str">
        <f t="shared" si="5"/>
        <v/>
      </c>
      <c r="L24" s="48"/>
      <c r="M24" s="9"/>
      <c r="N24" s="49"/>
      <c r="O24" s="49"/>
    </row>
    <row r="25" ht="15.75" customHeight="1">
      <c r="A25" s="45" t="str">
        <f>IFERROR(LOP_05!$A$32,"")</f>
        <v/>
      </c>
      <c r="B25" s="45" t="str">
        <f>IFERROR(LOP_05!$B$32,"")</f>
        <v/>
      </c>
      <c r="C25" s="46" t="str">
        <f>IFERROR(LOP_05!$AH$32,"")</f>
        <v/>
      </c>
      <c r="D25" s="46" t="str">
        <f>IFERROR(LOP_05!$AI$32,"")</f>
        <v/>
      </c>
      <c r="E25" s="41" t="str">
        <f t="shared" si="1"/>
        <v/>
      </c>
      <c r="F25" s="41" t="str">
        <f t="shared" si="2"/>
        <v/>
      </c>
      <c r="G25" s="41" t="str">
        <f>IF(A25="","",SUMIFS(CHUYEN_THANG!$D$4:$D$403,CHUYEN_THANG!$A$4:$A$403,$B$4,CHUYEN_THANG!$B$4:$B$403,A25))</f>
        <v/>
      </c>
      <c r="H25" s="41" t="str">
        <f t="shared" si="3"/>
        <v/>
      </c>
      <c r="I25" s="11"/>
      <c r="J25" s="41" t="str">
        <f t="shared" si="4"/>
        <v/>
      </c>
      <c r="K25" s="41" t="str">
        <f t="shared" si="5"/>
        <v/>
      </c>
      <c r="L25" s="48"/>
      <c r="M25" s="9"/>
      <c r="N25" s="49"/>
      <c r="O25" s="49"/>
    </row>
    <row r="26" ht="15.75" customHeight="1">
      <c r="A26" s="45" t="str">
        <f>IFERROR(LOP_05!$A$33,"")</f>
        <v/>
      </c>
      <c r="B26" s="45" t="str">
        <f>IFERROR(LOP_05!$B$33,"")</f>
        <v/>
      </c>
      <c r="C26" s="46" t="str">
        <f>IFERROR(LOP_05!$AH$33,"")</f>
        <v/>
      </c>
      <c r="D26" s="46" t="str">
        <f>IFERROR(LOP_05!$AI$33,"")</f>
        <v/>
      </c>
      <c r="E26" s="41" t="str">
        <f t="shared" si="1"/>
        <v/>
      </c>
      <c r="F26" s="41" t="str">
        <f t="shared" si="2"/>
        <v/>
      </c>
      <c r="G26" s="41" t="str">
        <f>IF(A26="","",SUMIFS(CHUYEN_THANG!$D$4:$D$403,CHUYEN_THANG!$A$4:$A$403,$B$4,CHUYEN_THANG!$B$4:$B$403,A26))</f>
        <v/>
      </c>
      <c r="H26" s="41" t="str">
        <f t="shared" si="3"/>
        <v/>
      </c>
      <c r="I26" s="11"/>
      <c r="J26" s="41" t="str">
        <f t="shared" si="4"/>
        <v/>
      </c>
      <c r="K26" s="41" t="str">
        <f t="shared" si="5"/>
        <v/>
      </c>
      <c r="L26" s="48"/>
      <c r="M26" s="9"/>
      <c r="N26" s="49"/>
      <c r="O26" s="49"/>
    </row>
    <row r="27" ht="15.75" customHeight="1">
      <c r="A27" s="45" t="str">
        <f>IFERROR(LOP_05!$A$34,"")</f>
        <v/>
      </c>
      <c r="B27" s="45" t="str">
        <f>IFERROR(LOP_05!$B$34,"")</f>
        <v/>
      </c>
      <c r="C27" s="46" t="str">
        <f>IFERROR(LOP_05!$AH$34,"")</f>
        <v/>
      </c>
      <c r="D27" s="46" t="str">
        <f>IFERROR(LOP_05!$AI$34,"")</f>
        <v/>
      </c>
      <c r="E27" s="41" t="str">
        <f t="shared" si="1"/>
        <v/>
      </c>
      <c r="F27" s="41" t="str">
        <f t="shared" si="2"/>
        <v/>
      </c>
      <c r="G27" s="41" t="str">
        <f>IF(A27="","",SUMIFS(CHUYEN_THANG!$D$4:$D$403,CHUYEN_THANG!$A$4:$A$403,$B$4,CHUYEN_THANG!$B$4:$B$403,A27))</f>
        <v/>
      </c>
      <c r="H27" s="41" t="str">
        <f t="shared" si="3"/>
        <v/>
      </c>
      <c r="I27" s="11"/>
      <c r="J27" s="41" t="str">
        <f t="shared" si="4"/>
        <v/>
      </c>
      <c r="K27" s="41" t="str">
        <f t="shared" si="5"/>
        <v/>
      </c>
      <c r="L27" s="48"/>
      <c r="M27" s="9"/>
      <c r="N27" s="49"/>
      <c r="O27" s="49"/>
    </row>
    <row r="28" ht="15.75" customHeight="1">
      <c r="A28" s="45" t="str">
        <f>IFERROR(LOP_05!$A$35,"")</f>
        <v/>
      </c>
      <c r="B28" s="45" t="str">
        <f>IFERROR(LOP_05!$B$35,"")</f>
        <v/>
      </c>
      <c r="C28" s="46" t="str">
        <f>IFERROR(LOP_05!$AH$35,"")</f>
        <v/>
      </c>
      <c r="D28" s="46" t="str">
        <f>IFERROR(LOP_05!$AI$35,"")</f>
        <v/>
      </c>
      <c r="E28" s="41" t="str">
        <f t="shared" si="1"/>
        <v/>
      </c>
      <c r="F28" s="41" t="str">
        <f t="shared" si="2"/>
        <v/>
      </c>
      <c r="G28" s="41" t="str">
        <f>IF(A28="","",SUMIFS(CHUYEN_THANG!$D$4:$D$403,CHUYEN_THANG!$A$4:$A$403,$B$4,CHUYEN_THANG!$B$4:$B$403,A28))</f>
        <v/>
      </c>
      <c r="H28" s="41" t="str">
        <f t="shared" si="3"/>
        <v/>
      </c>
      <c r="I28" s="11"/>
      <c r="J28" s="41" t="str">
        <f t="shared" si="4"/>
        <v/>
      </c>
      <c r="K28" s="41" t="str">
        <f t="shared" si="5"/>
        <v/>
      </c>
      <c r="L28" s="48"/>
      <c r="M28" s="9"/>
      <c r="N28" s="49"/>
      <c r="O28" s="49"/>
    </row>
    <row r="29" ht="15.75" customHeight="1">
      <c r="A29" s="45" t="str">
        <f>IFERROR(LOP_05!$A$36,"")</f>
        <v/>
      </c>
      <c r="B29" s="45" t="str">
        <f>IFERROR(LOP_05!$B$36,"")</f>
        <v/>
      </c>
      <c r="C29" s="46" t="str">
        <f>IFERROR(LOP_05!$AH$36,"")</f>
        <v/>
      </c>
      <c r="D29" s="46" t="str">
        <f>IFERROR(LOP_05!$AI$36,"")</f>
        <v/>
      </c>
      <c r="E29" s="41" t="str">
        <f t="shared" si="1"/>
        <v/>
      </c>
      <c r="F29" s="41" t="str">
        <f t="shared" si="2"/>
        <v/>
      </c>
      <c r="G29" s="41" t="str">
        <f>IF(A29="","",SUMIFS(CHUYEN_THANG!$D$4:$D$403,CHUYEN_THANG!$A$4:$A$403,$B$4,CHUYEN_THANG!$B$4:$B$403,A29))</f>
        <v/>
      </c>
      <c r="H29" s="41" t="str">
        <f t="shared" si="3"/>
        <v/>
      </c>
      <c r="I29" s="11"/>
      <c r="J29" s="41" t="str">
        <f t="shared" si="4"/>
        <v/>
      </c>
      <c r="K29" s="41" t="str">
        <f t="shared" si="5"/>
        <v/>
      </c>
      <c r="L29" s="48"/>
      <c r="M29" s="9"/>
      <c r="N29" s="49"/>
      <c r="O29" s="49"/>
    </row>
    <row r="30" ht="15.75" customHeight="1">
      <c r="A30" s="45" t="str">
        <f>IFERROR(LOP_05!$A$37,"")</f>
        <v/>
      </c>
      <c r="B30" s="45" t="str">
        <f>IFERROR(LOP_05!$B$37,"")</f>
        <v/>
      </c>
      <c r="C30" s="46" t="str">
        <f>IFERROR(LOP_05!$AH$37,"")</f>
        <v/>
      </c>
      <c r="D30" s="46" t="str">
        <f>IFERROR(LOP_05!$AI$37,"")</f>
        <v/>
      </c>
      <c r="E30" s="41" t="str">
        <f t="shared" si="1"/>
        <v/>
      </c>
      <c r="F30" s="41" t="str">
        <f t="shared" si="2"/>
        <v/>
      </c>
      <c r="G30" s="41" t="str">
        <f>IF(A30="","",SUMIFS(CHUYEN_THANG!$D$4:$D$403,CHUYEN_THANG!$A$4:$A$403,$B$4,CHUYEN_THANG!$B$4:$B$403,A30))</f>
        <v/>
      </c>
      <c r="H30" s="41" t="str">
        <f t="shared" si="3"/>
        <v/>
      </c>
      <c r="I30" s="11"/>
      <c r="J30" s="41" t="str">
        <f t="shared" si="4"/>
        <v/>
      </c>
      <c r="K30" s="41" t="str">
        <f t="shared" si="5"/>
        <v/>
      </c>
      <c r="L30" s="48"/>
      <c r="M30" s="9"/>
      <c r="N30" s="49"/>
      <c r="O30" s="49"/>
    </row>
    <row r="31" ht="15.75" customHeight="1">
      <c r="A31" s="45" t="str">
        <f>IFERROR(LOP_05!$A$38,"")</f>
        <v/>
      </c>
      <c r="B31" s="45" t="str">
        <f>IFERROR(LOP_05!$B$38,"")</f>
        <v/>
      </c>
      <c r="C31" s="46" t="str">
        <f>IFERROR(LOP_05!$AH$38,"")</f>
        <v/>
      </c>
      <c r="D31" s="46" t="str">
        <f>IFERROR(LOP_05!$AI$38,"")</f>
        <v/>
      </c>
      <c r="E31" s="41" t="str">
        <f t="shared" si="1"/>
        <v/>
      </c>
      <c r="F31" s="41" t="str">
        <f t="shared" si="2"/>
        <v/>
      </c>
      <c r="G31" s="41" t="str">
        <f>IF(A31="","",SUMIFS(CHUYEN_THANG!$D$4:$D$403,CHUYEN_THANG!$A$4:$A$403,$B$4,CHUYEN_THANG!$B$4:$B$403,A31))</f>
        <v/>
      </c>
      <c r="H31" s="41" t="str">
        <f t="shared" si="3"/>
        <v/>
      </c>
      <c r="I31" s="11"/>
      <c r="J31" s="41" t="str">
        <f t="shared" si="4"/>
        <v/>
      </c>
      <c r="K31" s="41" t="str">
        <f t="shared" si="5"/>
        <v/>
      </c>
      <c r="L31" s="48"/>
      <c r="M31" s="9"/>
      <c r="N31" s="49"/>
      <c r="O31" s="49"/>
    </row>
    <row r="32" ht="15.75" customHeight="1">
      <c r="A32" s="45" t="str">
        <f>IFERROR(LOP_05!$A$39,"")</f>
        <v/>
      </c>
      <c r="B32" s="45" t="str">
        <f>IFERROR(LOP_05!$B$39,"")</f>
        <v/>
      </c>
      <c r="C32" s="46" t="str">
        <f>IFERROR(LOP_05!$AH$39,"")</f>
        <v/>
      </c>
      <c r="D32" s="46" t="str">
        <f>IFERROR(LOP_05!$AI$39,"")</f>
        <v/>
      </c>
      <c r="E32" s="41" t="str">
        <f t="shared" si="1"/>
        <v/>
      </c>
      <c r="F32" s="41" t="str">
        <f t="shared" si="2"/>
        <v/>
      </c>
      <c r="G32" s="41" t="str">
        <f>IF(A32="","",SUMIFS(CHUYEN_THANG!$D$4:$D$403,CHUYEN_THANG!$A$4:$A$403,$B$4,CHUYEN_THANG!$B$4:$B$403,A32))</f>
        <v/>
      </c>
      <c r="H32" s="41" t="str">
        <f t="shared" si="3"/>
        <v/>
      </c>
      <c r="I32" s="11"/>
      <c r="J32" s="41" t="str">
        <f t="shared" si="4"/>
        <v/>
      </c>
      <c r="K32" s="41" t="str">
        <f t="shared" si="5"/>
        <v/>
      </c>
      <c r="L32" s="48"/>
      <c r="M32" s="9"/>
      <c r="N32" s="49"/>
      <c r="O32" s="49"/>
    </row>
    <row r="33" ht="15.75" customHeight="1">
      <c r="A33" s="45" t="str">
        <f>IFERROR(LOP_05!$A$40,"")</f>
        <v/>
      </c>
      <c r="B33" s="45" t="str">
        <f>IFERROR(LOP_05!$B$40,"")</f>
        <v/>
      </c>
      <c r="C33" s="46" t="str">
        <f>IFERROR(LOP_05!$AH$40,"")</f>
        <v/>
      </c>
      <c r="D33" s="46" t="str">
        <f>IFERROR(LOP_05!$AI$40,"")</f>
        <v/>
      </c>
      <c r="E33" s="41" t="str">
        <f t="shared" si="1"/>
        <v/>
      </c>
      <c r="F33" s="41" t="str">
        <f t="shared" si="2"/>
        <v/>
      </c>
      <c r="G33" s="41" t="str">
        <f>IF(A33="","",SUMIFS(CHUYEN_THANG!$D$4:$D$403,CHUYEN_THANG!$A$4:$A$403,$B$4,CHUYEN_THANG!$B$4:$B$403,A33))</f>
        <v/>
      </c>
      <c r="H33" s="41" t="str">
        <f t="shared" si="3"/>
        <v/>
      </c>
      <c r="I33" s="11"/>
      <c r="J33" s="41" t="str">
        <f t="shared" si="4"/>
        <v/>
      </c>
      <c r="K33" s="41" t="str">
        <f t="shared" si="5"/>
        <v/>
      </c>
      <c r="L33" s="48"/>
      <c r="M33" s="9"/>
      <c r="N33" s="49"/>
      <c r="O33" s="49"/>
    </row>
    <row r="34" ht="15.75" customHeight="1">
      <c r="A34" s="45" t="str">
        <f>IFERROR(LOP_05!$A$41,"")</f>
        <v/>
      </c>
      <c r="B34" s="45" t="str">
        <f>IFERROR(LOP_05!$B$41,"")</f>
        <v/>
      </c>
      <c r="C34" s="46" t="str">
        <f>IFERROR(LOP_05!$AH$41,"")</f>
        <v/>
      </c>
      <c r="D34" s="46" t="str">
        <f>IFERROR(LOP_05!$AI$41,"")</f>
        <v/>
      </c>
      <c r="E34" s="41" t="str">
        <f t="shared" si="1"/>
        <v/>
      </c>
      <c r="F34" s="41" t="str">
        <f t="shared" si="2"/>
        <v/>
      </c>
      <c r="G34" s="41" t="str">
        <f>IF(A34="","",SUMIFS(CHUYEN_THANG!$D$4:$D$403,CHUYEN_THANG!$A$4:$A$403,$B$4,CHUYEN_THANG!$B$4:$B$403,A34))</f>
        <v/>
      </c>
      <c r="H34" s="41" t="str">
        <f t="shared" si="3"/>
        <v/>
      </c>
      <c r="I34" s="11"/>
      <c r="J34" s="41" t="str">
        <f t="shared" si="4"/>
        <v/>
      </c>
      <c r="K34" s="41" t="str">
        <f t="shared" si="5"/>
        <v/>
      </c>
      <c r="L34" s="48"/>
      <c r="M34" s="9"/>
      <c r="N34" s="49"/>
      <c r="O34" s="49"/>
    </row>
    <row r="35" ht="15.75" customHeight="1">
      <c r="A35" s="45" t="str">
        <f>IFERROR(LOP_05!$A$42,"")</f>
        <v/>
      </c>
      <c r="B35" s="45" t="str">
        <f>IFERROR(LOP_05!$B$42,"")</f>
        <v/>
      </c>
      <c r="C35" s="46" t="str">
        <f>IFERROR(LOP_05!$AH$42,"")</f>
        <v/>
      </c>
      <c r="D35" s="46" t="str">
        <f>IFERROR(LOP_05!$AI$42,"")</f>
        <v/>
      </c>
      <c r="E35" s="41" t="str">
        <f t="shared" si="1"/>
        <v/>
      </c>
      <c r="F35" s="41" t="str">
        <f t="shared" si="2"/>
        <v/>
      </c>
      <c r="G35" s="41" t="str">
        <f>IF(A35="","",SUMIFS(CHUYEN_THANG!$D$4:$D$403,CHUYEN_THANG!$A$4:$A$403,$B$4,CHUYEN_THANG!$B$4:$B$403,A35))</f>
        <v/>
      </c>
      <c r="H35" s="41" t="str">
        <f t="shared" si="3"/>
        <v/>
      </c>
      <c r="I35" s="11"/>
      <c r="J35" s="41" t="str">
        <f t="shared" si="4"/>
        <v/>
      </c>
      <c r="K35" s="41" t="str">
        <f t="shared" si="5"/>
        <v/>
      </c>
      <c r="L35" s="48"/>
      <c r="M35" s="9"/>
      <c r="N35" s="49"/>
      <c r="O35" s="49"/>
    </row>
    <row r="36" ht="15.75" customHeight="1">
      <c r="A36" s="45" t="str">
        <f>IFERROR(LOP_05!$A$43,"")</f>
        <v/>
      </c>
      <c r="B36" s="45" t="str">
        <f>IFERROR(LOP_05!$B$43,"")</f>
        <v/>
      </c>
      <c r="C36" s="46" t="str">
        <f>IFERROR(LOP_05!$AH$43,"")</f>
        <v/>
      </c>
      <c r="D36" s="46" t="str">
        <f>IFERROR(LOP_05!$AI$43,"")</f>
        <v/>
      </c>
      <c r="E36" s="41" t="str">
        <f t="shared" si="1"/>
        <v/>
      </c>
      <c r="F36" s="41" t="str">
        <f t="shared" si="2"/>
        <v/>
      </c>
      <c r="G36" s="41" t="str">
        <f>IF(A36="","",SUMIFS(CHUYEN_THANG!$D$4:$D$403,CHUYEN_THANG!$A$4:$A$403,$B$4,CHUYEN_THANG!$B$4:$B$403,A36))</f>
        <v/>
      </c>
      <c r="H36" s="41" t="str">
        <f t="shared" si="3"/>
        <v/>
      </c>
      <c r="I36" s="11"/>
      <c r="J36" s="41" t="str">
        <f t="shared" si="4"/>
        <v/>
      </c>
      <c r="K36" s="41" t="str">
        <f t="shared" si="5"/>
        <v/>
      </c>
      <c r="L36" s="48"/>
      <c r="M36" s="9"/>
      <c r="N36" s="49"/>
      <c r="O36" s="49"/>
    </row>
    <row r="37" ht="15.75" customHeight="1">
      <c r="A37" s="45" t="str">
        <f>IFERROR(LOP_05!$A$44,"")</f>
        <v/>
      </c>
      <c r="B37" s="45" t="str">
        <f>IFERROR(LOP_05!$B$44,"")</f>
        <v/>
      </c>
      <c r="C37" s="46" t="str">
        <f>IFERROR(LOP_05!$AH$44,"")</f>
        <v/>
      </c>
      <c r="D37" s="46" t="str">
        <f>IFERROR(LOP_05!$AI$44,"")</f>
        <v/>
      </c>
      <c r="E37" s="41" t="str">
        <f t="shared" si="1"/>
        <v/>
      </c>
      <c r="F37" s="41" t="str">
        <f t="shared" si="2"/>
        <v/>
      </c>
      <c r="G37" s="41" t="str">
        <f>IF(A37="","",SUMIFS(CHUYEN_THANG!$D$4:$D$403,CHUYEN_THANG!$A$4:$A$403,$B$4,CHUYEN_THANG!$B$4:$B$403,A37))</f>
        <v/>
      </c>
      <c r="H37" s="41" t="str">
        <f t="shared" si="3"/>
        <v/>
      </c>
      <c r="I37" s="11"/>
      <c r="J37" s="41" t="str">
        <f t="shared" si="4"/>
        <v/>
      </c>
      <c r="K37" s="41" t="str">
        <f t="shared" si="5"/>
        <v/>
      </c>
      <c r="L37" s="48"/>
      <c r="M37" s="9"/>
      <c r="N37" s="49"/>
      <c r="O37" s="49"/>
    </row>
    <row r="38" ht="15.75" customHeight="1">
      <c r="A38" s="45" t="str">
        <f>IFERROR(LOP_05!$A$45,"")</f>
        <v/>
      </c>
      <c r="B38" s="45" t="str">
        <f>IFERROR(LOP_05!$B$45,"")</f>
        <v/>
      </c>
      <c r="C38" s="46" t="str">
        <f>IFERROR(LOP_05!$AH$45,"")</f>
        <v/>
      </c>
      <c r="D38" s="46" t="str">
        <f>IFERROR(LOP_05!$AI$45,"")</f>
        <v/>
      </c>
      <c r="E38" s="41" t="str">
        <f t="shared" si="1"/>
        <v/>
      </c>
      <c r="F38" s="41" t="str">
        <f t="shared" si="2"/>
        <v/>
      </c>
      <c r="G38" s="41" t="str">
        <f>IF(A38="","",SUMIFS(CHUYEN_THANG!$D$4:$D$403,CHUYEN_THANG!$A$4:$A$403,$B$4,CHUYEN_THANG!$B$4:$B$403,A38))</f>
        <v/>
      </c>
      <c r="H38" s="41" t="str">
        <f t="shared" si="3"/>
        <v/>
      </c>
      <c r="I38" s="11"/>
      <c r="J38" s="41" t="str">
        <f t="shared" si="4"/>
        <v/>
      </c>
      <c r="K38" s="41" t="str">
        <f t="shared" si="5"/>
        <v/>
      </c>
      <c r="L38" s="48"/>
      <c r="M38" s="9"/>
      <c r="N38" s="49"/>
      <c r="O38" s="49"/>
    </row>
    <row r="39" ht="15.75" customHeight="1">
      <c r="A39" s="45" t="str">
        <f>IFERROR(LOP_05!$A$46,"")</f>
        <v/>
      </c>
      <c r="B39" s="45" t="str">
        <f>IFERROR(LOP_05!$B$46,"")</f>
        <v/>
      </c>
      <c r="C39" s="46" t="str">
        <f>IFERROR(LOP_05!$AH$46,"")</f>
        <v/>
      </c>
      <c r="D39" s="46" t="str">
        <f>IFERROR(LOP_05!$AI$46,"")</f>
        <v/>
      </c>
      <c r="E39" s="41" t="str">
        <f t="shared" si="1"/>
        <v/>
      </c>
      <c r="F39" s="41" t="str">
        <f t="shared" si="2"/>
        <v/>
      </c>
      <c r="G39" s="41" t="str">
        <f>IF(A39="","",SUMIFS(CHUYEN_THANG!$D$4:$D$403,CHUYEN_THANG!$A$4:$A$403,$B$4,CHUYEN_THANG!$B$4:$B$403,A39))</f>
        <v/>
      </c>
      <c r="H39" s="41" t="str">
        <f t="shared" si="3"/>
        <v/>
      </c>
      <c r="I39" s="11"/>
      <c r="J39" s="41" t="str">
        <f t="shared" si="4"/>
        <v/>
      </c>
      <c r="K39" s="41" t="str">
        <f t="shared" si="5"/>
        <v/>
      </c>
      <c r="L39" s="48"/>
      <c r="M39" s="9"/>
      <c r="N39" s="49"/>
      <c r="O39" s="49"/>
    </row>
    <row r="40" ht="15.75" customHeight="1">
      <c r="A40" s="45" t="str">
        <f>IFERROR(LOP_05!$A$47,"")</f>
        <v/>
      </c>
      <c r="B40" s="45" t="str">
        <f>IFERROR(LOP_05!$B$47,"")</f>
        <v/>
      </c>
      <c r="C40" s="46" t="str">
        <f>IFERROR(LOP_05!$AH$47,"")</f>
        <v/>
      </c>
      <c r="D40" s="46" t="str">
        <f>IFERROR(LOP_05!$AI$47,"")</f>
        <v/>
      </c>
      <c r="E40" s="41" t="str">
        <f t="shared" si="1"/>
        <v/>
      </c>
      <c r="F40" s="41" t="str">
        <f t="shared" si="2"/>
        <v/>
      </c>
      <c r="G40" s="41" t="str">
        <f>IF(A40="","",SUMIFS(CHUYEN_THANG!$D$4:$D$403,CHUYEN_THANG!$A$4:$A$403,$B$4,CHUYEN_THANG!$B$4:$B$403,A40))</f>
        <v/>
      </c>
      <c r="H40" s="41" t="str">
        <f t="shared" si="3"/>
        <v/>
      </c>
      <c r="I40" s="11"/>
      <c r="J40" s="41" t="str">
        <f t="shared" si="4"/>
        <v/>
      </c>
      <c r="K40" s="41" t="str">
        <f t="shared" si="5"/>
        <v/>
      </c>
      <c r="L40" s="48"/>
      <c r="M40" s="9"/>
      <c r="N40" s="49"/>
      <c r="O40" s="49"/>
    </row>
    <row r="41" ht="15.75" customHeight="1">
      <c r="A41" s="45" t="str">
        <f>IFERROR(LOP_05!$A$48,"")</f>
        <v/>
      </c>
      <c r="B41" s="45" t="str">
        <f>IFERROR(LOP_05!$B$48,"")</f>
        <v/>
      </c>
      <c r="C41" s="46" t="str">
        <f>IFERROR(LOP_05!$AH$48,"")</f>
        <v/>
      </c>
      <c r="D41" s="46" t="str">
        <f>IFERROR(LOP_05!$AI$48,"")</f>
        <v/>
      </c>
      <c r="E41" s="41" t="str">
        <f t="shared" si="1"/>
        <v/>
      </c>
      <c r="F41" s="41" t="str">
        <f t="shared" si="2"/>
        <v/>
      </c>
      <c r="G41" s="41" t="str">
        <f>IF(A41="","",SUMIFS(CHUYEN_THANG!$D$4:$D$403,CHUYEN_THANG!$A$4:$A$403,$B$4,CHUYEN_THANG!$B$4:$B$403,A41))</f>
        <v/>
      </c>
      <c r="H41" s="41" t="str">
        <f t="shared" si="3"/>
        <v/>
      </c>
      <c r="I41" s="11"/>
      <c r="J41" s="41" t="str">
        <f t="shared" si="4"/>
        <v/>
      </c>
      <c r="K41" s="41" t="str">
        <f t="shared" si="5"/>
        <v/>
      </c>
      <c r="L41" s="48"/>
      <c r="M41" s="9"/>
      <c r="N41" s="49"/>
      <c r="O41" s="49"/>
    </row>
    <row r="42" ht="15.75" customHeight="1">
      <c r="A42" s="45" t="str">
        <f>IFERROR(LOP_05!$A$49,"")</f>
        <v/>
      </c>
      <c r="B42" s="45" t="str">
        <f>IFERROR(LOP_05!$B$49,"")</f>
        <v/>
      </c>
      <c r="C42" s="46" t="str">
        <f>IFERROR(LOP_05!$AH$49,"")</f>
        <v/>
      </c>
      <c r="D42" s="46" t="str">
        <f>IFERROR(LOP_05!$AI$49,"")</f>
        <v/>
      </c>
      <c r="E42" s="41" t="str">
        <f t="shared" si="1"/>
        <v/>
      </c>
      <c r="F42" s="41" t="str">
        <f t="shared" si="2"/>
        <v/>
      </c>
      <c r="G42" s="41" t="str">
        <f>IF(A42="","",SUMIFS(CHUYEN_THANG!$D$4:$D$403,CHUYEN_THANG!$A$4:$A$403,$B$4,CHUYEN_THANG!$B$4:$B$403,A42))</f>
        <v/>
      </c>
      <c r="H42" s="41" t="str">
        <f t="shared" si="3"/>
        <v/>
      </c>
      <c r="I42" s="11"/>
      <c r="J42" s="41" t="str">
        <f t="shared" si="4"/>
        <v/>
      </c>
      <c r="K42" s="41" t="str">
        <f t="shared" si="5"/>
        <v/>
      </c>
      <c r="L42" s="48"/>
      <c r="M42" s="9"/>
      <c r="N42" s="49"/>
      <c r="O42" s="49"/>
    </row>
    <row r="43" ht="15.75" customHeight="1">
      <c r="A43" s="45" t="str">
        <f>IFERROR(LOP_05!$A$50,"")</f>
        <v/>
      </c>
      <c r="B43" s="45" t="str">
        <f>IFERROR(LOP_05!$B$50,"")</f>
        <v/>
      </c>
      <c r="C43" s="46" t="str">
        <f>IFERROR(LOP_05!$AH$50,"")</f>
        <v/>
      </c>
      <c r="D43" s="46" t="str">
        <f>IFERROR(LOP_05!$AI$50,"")</f>
        <v/>
      </c>
      <c r="E43" s="41" t="str">
        <f t="shared" si="1"/>
        <v/>
      </c>
      <c r="F43" s="41" t="str">
        <f t="shared" si="2"/>
        <v/>
      </c>
      <c r="G43" s="41" t="str">
        <f>IF(A43="","",SUMIFS(CHUYEN_THANG!$D$4:$D$403,CHUYEN_THANG!$A$4:$A$403,$B$4,CHUYEN_THANG!$B$4:$B$403,A43))</f>
        <v/>
      </c>
      <c r="H43" s="41" t="str">
        <f t="shared" si="3"/>
        <v/>
      </c>
      <c r="I43" s="11"/>
      <c r="J43" s="41" t="str">
        <f t="shared" si="4"/>
        <v/>
      </c>
      <c r="K43" s="41" t="str">
        <f t="shared" si="5"/>
        <v/>
      </c>
      <c r="L43" s="48"/>
      <c r="M43" s="9"/>
      <c r="N43" s="49"/>
      <c r="O43" s="49"/>
    </row>
    <row r="44" ht="15.75" customHeight="1">
      <c r="A44" s="50"/>
      <c r="B44" s="50"/>
      <c r="C44" s="51"/>
      <c r="D44" s="51"/>
      <c r="E44" s="43"/>
      <c r="F44" s="43"/>
      <c r="G44" s="43"/>
      <c r="H44" s="43"/>
      <c r="I44" s="49"/>
      <c r="J44" s="43"/>
      <c r="K44" s="43"/>
      <c r="L44" s="52"/>
      <c r="M44" s="53"/>
      <c r="N44" s="49"/>
      <c r="O44" s="49"/>
    </row>
    <row r="45" ht="15.75" customHeight="1">
      <c r="A45" s="50"/>
      <c r="B45" s="50"/>
      <c r="C45" s="51"/>
      <c r="D45" s="51"/>
      <c r="E45" s="43"/>
      <c r="F45" s="43"/>
      <c r="G45" s="43"/>
      <c r="H45" s="43"/>
      <c r="I45" s="49"/>
      <c r="J45" s="43"/>
      <c r="K45" s="43"/>
      <c r="L45" s="52"/>
      <c r="M45" s="53"/>
      <c r="N45" s="49"/>
      <c r="O45" s="49"/>
    </row>
    <row r="46" ht="15.75" customHeight="1">
      <c r="A46" s="50"/>
      <c r="B46" s="50"/>
      <c r="C46" s="51"/>
      <c r="D46" s="51"/>
      <c r="E46" s="43"/>
      <c r="F46" s="43"/>
      <c r="G46" s="43"/>
      <c r="H46" s="43"/>
      <c r="I46" s="49"/>
      <c r="J46" s="43"/>
      <c r="K46" s="43"/>
      <c r="L46" s="52"/>
      <c r="M46" s="53"/>
      <c r="N46" s="49"/>
      <c r="O46" s="49"/>
    </row>
    <row r="47" ht="15.75" customHeight="1">
      <c r="A47" s="50"/>
      <c r="B47" s="50"/>
      <c r="C47" s="51"/>
      <c r="D47" s="51"/>
      <c r="E47" s="43"/>
      <c r="F47" s="43"/>
      <c r="G47" s="43"/>
      <c r="H47" s="43"/>
      <c r="I47" s="49"/>
      <c r="J47" s="43"/>
      <c r="K47" s="43"/>
      <c r="L47" s="52"/>
      <c r="M47" s="53"/>
      <c r="N47" s="49"/>
      <c r="O47" s="49"/>
    </row>
    <row r="48" ht="15.75" customHeight="1">
      <c r="A48" s="50"/>
      <c r="B48" s="50"/>
      <c r="C48" s="51"/>
      <c r="D48" s="51"/>
      <c r="E48" s="43"/>
      <c r="F48" s="43"/>
      <c r="G48" s="43"/>
      <c r="H48" s="43"/>
      <c r="I48" s="49"/>
      <c r="J48" s="43"/>
      <c r="K48" s="43"/>
      <c r="L48" s="52"/>
      <c r="M48" s="53"/>
      <c r="N48" s="49"/>
      <c r="O48" s="49"/>
    </row>
    <row r="49" ht="15.75" customHeight="1">
      <c r="A49" s="50"/>
      <c r="B49" s="50"/>
      <c r="C49" s="51"/>
      <c r="D49" s="51"/>
      <c r="E49" s="43"/>
      <c r="F49" s="43"/>
      <c r="G49" s="43"/>
      <c r="H49" s="43"/>
      <c r="I49" s="49"/>
      <c r="J49" s="43"/>
      <c r="K49" s="43"/>
      <c r="L49" s="52"/>
      <c r="M49" s="53"/>
      <c r="N49" s="49"/>
      <c r="O49" s="49"/>
    </row>
    <row r="50" ht="15.75" customHeight="1">
      <c r="A50" s="50"/>
      <c r="B50" s="50"/>
      <c r="C50" s="51"/>
      <c r="D50" s="51"/>
      <c r="E50" s="43"/>
      <c r="F50" s="43"/>
      <c r="G50" s="43"/>
      <c r="H50" s="43"/>
      <c r="I50" s="49"/>
      <c r="J50" s="43"/>
      <c r="K50" s="43"/>
      <c r="L50" s="52"/>
      <c r="M50" s="53"/>
      <c r="N50" s="49"/>
      <c r="O50" s="49"/>
    </row>
    <row r="51" ht="15.75" customHeight="1">
      <c r="A51" s="50"/>
      <c r="B51" s="50"/>
      <c r="C51" s="51"/>
      <c r="D51" s="51"/>
      <c r="E51" s="43"/>
      <c r="F51" s="43"/>
      <c r="G51" s="43"/>
      <c r="H51" s="43"/>
      <c r="I51" s="49"/>
      <c r="J51" s="43"/>
      <c r="K51" s="43"/>
      <c r="L51" s="52"/>
      <c r="M51" s="53"/>
      <c r="N51" s="49"/>
      <c r="O51" s="49"/>
    </row>
    <row r="52" ht="15.75" customHeight="1">
      <c r="A52" s="50"/>
      <c r="B52" s="50"/>
      <c r="C52" s="51"/>
      <c r="D52" s="51"/>
      <c r="E52" s="43"/>
      <c r="F52" s="43"/>
      <c r="G52" s="43"/>
      <c r="H52" s="43"/>
      <c r="I52" s="49"/>
      <c r="J52" s="43"/>
      <c r="K52" s="43"/>
      <c r="L52" s="52"/>
      <c r="M52" s="53"/>
      <c r="N52" s="49"/>
      <c r="O52" s="49"/>
    </row>
    <row r="53" ht="15.75" customHeight="1">
      <c r="A53" s="50"/>
      <c r="B53" s="50"/>
      <c r="C53" s="51"/>
      <c r="D53" s="51"/>
      <c r="E53" s="43"/>
      <c r="F53" s="43"/>
      <c r="G53" s="43"/>
      <c r="H53" s="43"/>
      <c r="I53" s="49"/>
      <c r="J53" s="43"/>
      <c r="K53" s="43"/>
      <c r="L53" s="52"/>
      <c r="M53" s="53"/>
      <c r="N53" s="49"/>
      <c r="O53" s="49"/>
    </row>
    <row r="54" ht="15.75" customHeight="1">
      <c r="A54" s="50"/>
      <c r="B54" s="50"/>
      <c r="C54" s="51"/>
      <c r="D54" s="51"/>
      <c r="E54" s="43"/>
      <c r="F54" s="43"/>
      <c r="G54" s="43"/>
      <c r="H54" s="43"/>
      <c r="I54" s="49"/>
      <c r="J54" s="43"/>
      <c r="K54" s="43"/>
      <c r="L54" s="52"/>
      <c r="M54" s="53"/>
      <c r="N54" s="49"/>
      <c r="O54" s="49"/>
    </row>
    <row r="55" ht="15.75" customHeight="1">
      <c r="A55" s="50"/>
      <c r="B55" s="50"/>
      <c r="C55" s="51"/>
      <c r="D55" s="51"/>
      <c r="E55" s="43"/>
      <c r="F55" s="43"/>
      <c r="G55" s="43"/>
      <c r="H55" s="43"/>
      <c r="I55" s="49"/>
      <c r="J55" s="43"/>
      <c r="K55" s="43"/>
      <c r="L55" s="52"/>
      <c r="M55" s="53"/>
      <c r="N55" s="49"/>
      <c r="O55" s="49"/>
    </row>
    <row r="56" ht="15.75" customHeight="1">
      <c r="A56" s="50"/>
      <c r="B56" s="50"/>
      <c r="C56" s="51"/>
      <c r="D56" s="51"/>
      <c r="E56" s="43"/>
      <c r="F56" s="43"/>
      <c r="G56" s="43"/>
      <c r="H56" s="43"/>
      <c r="I56" s="49"/>
      <c r="J56" s="43"/>
      <c r="K56" s="43"/>
      <c r="L56" s="52"/>
      <c r="M56" s="53"/>
      <c r="N56" s="49"/>
      <c r="O56" s="49"/>
    </row>
    <row r="57" ht="15.75" customHeight="1">
      <c r="A57" s="50"/>
      <c r="B57" s="50"/>
      <c r="C57" s="51"/>
      <c r="D57" s="51"/>
      <c r="E57" s="43"/>
      <c r="F57" s="43"/>
      <c r="G57" s="43"/>
      <c r="H57" s="43"/>
      <c r="I57" s="49"/>
      <c r="J57" s="43"/>
      <c r="K57" s="43"/>
      <c r="L57" s="52"/>
      <c r="M57" s="53"/>
      <c r="N57" s="49"/>
      <c r="O57" s="49"/>
    </row>
    <row r="58" ht="15.75" customHeight="1">
      <c r="A58" s="50"/>
      <c r="B58" s="50"/>
      <c r="C58" s="51"/>
      <c r="D58" s="51"/>
      <c r="E58" s="43"/>
      <c r="F58" s="43"/>
      <c r="G58" s="43"/>
      <c r="H58" s="43"/>
      <c r="I58" s="49"/>
      <c r="J58" s="43"/>
      <c r="K58" s="43"/>
      <c r="L58" s="52"/>
      <c r="M58" s="53"/>
      <c r="N58" s="49"/>
      <c r="O58" s="49"/>
    </row>
    <row r="59" ht="15.75" customHeight="1">
      <c r="A59" s="50"/>
      <c r="B59" s="50"/>
      <c r="C59" s="51"/>
      <c r="D59" s="51"/>
      <c r="E59" s="43"/>
      <c r="F59" s="43"/>
      <c r="G59" s="43"/>
      <c r="H59" s="43"/>
      <c r="I59" s="49"/>
      <c r="J59" s="43"/>
      <c r="K59" s="43"/>
      <c r="L59" s="52"/>
      <c r="M59" s="53"/>
      <c r="N59" s="49"/>
      <c r="O59" s="49"/>
    </row>
    <row r="60" ht="15.75" customHeight="1">
      <c r="A60" s="50"/>
      <c r="B60" s="50"/>
      <c r="C60" s="51"/>
      <c r="D60" s="51"/>
      <c r="E60" s="43"/>
      <c r="F60" s="43"/>
      <c r="G60" s="43"/>
      <c r="H60" s="43"/>
      <c r="I60" s="49"/>
      <c r="J60" s="43"/>
      <c r="K60" s="43"/>
      <c r="L60" s="52"/>
      <c r="M60" s="53"/>
      <c r="N60" s="49"/>
      <c r="O60" s="49"/>
    </row>
    <row r="61" ht="15.75" customHeight="1">
      <c r="A61" s="50"/>
      <c r="B61" s="50"/>
      <c r="C61" s="51"/>
      <c r="D61" s="51"/>
      <c r="E61" s="43"/>
      <c r="F61" s="43"/>
      <c r="G61" s="43"/>
      <c r="H61" s="43"/>
      <c r="I61" s="49"/>
      <c r="J61" s="43"/>
      <c r="K61" s="43"/>
      <c r="L61" s="52"/>
      <c r="M61" s="53"/>
      <c r="N61" s="49"/>
      <c r="O61" s="49"/>
    </row>
    <row r="62" ht="15.75" customHeight="1">
      <c r="A62" s="50"/>
      <c r="B62" s="50"/>
      <c r="C62" s="51"/>
      <c r="D62" s="51"/>
      <c r="E62" s="43"/>
      <c r="F62" s="43"/>
      <c r="G62" s="43"/>
      <c r="H62" s="43"/>
      <c r="I62" s="49"/>
      <c r="J62" s="43"/>
      <c r="K62" s="43"/>
      <c r="L62" s="52"/>
      <c r="M62" s="53"/>
      <c r="N62" s="49"/>
      <c r="O62" s="49"/>
    </row>
    <row r="63" ht="15.75" customHeight="1">
      <c r="A63" s="50"/>
      <c r="B63" s="50"/>
      <c r="C63" s="51"/>
      <c r="D63" s="51"/>
      <c r="E63" s="43"/>
      <c r="F63" s="43"/>
      <c r="G63" s="43"/>
      <c r="H63" s="43"/>
      <c r="I63" s="49"/>
      <c r="J63" s="43"/>
      <c r="K63" s="43"/>
      <c r="L63" s="52"/>
      <c r="M63" s="53"/>
      <c r="N63" s="49"/>
      <c r="O63" s="49"/>
    </row>
    <row r="64" ht="15.75" customHeight="1">
      <c r="A64" s="50"/>
      <c r="B64" s="50"/>
      <c r="C64" s="51"/>
      <c r="D64" s="51"/>
      <c r="E64" s="43"/>
      <c r="F64" s="43"/>
      <c r="G64" s="43"/>
      <c r="H64" s="43"/>
      <c r="I64" s="49"/>
      <c r="J64" s="43"/>
      <c r="K64" s="43"/>
      <c r="L64" s="52"/>
      <c r="M64" s="53"/>
      <c r="N64" s="49"/>
      <c r="O64" s="49"/>
    </row>
    <row r="65" ht="15.75" customHeight="1">
      <c r="A65" s="50"/>
      <c r="B65" s="50"/>
      <c r="C65" s="51"/>
      <c r="D65" s="51"/>
      <c r="E65" s="43"/>
      <c r="F65" s="43"/>
      <c r="G65" s="43"/>
      <c r="H65" s="43"/>
      <c r="I65" s="49"/>
      <c r="J65" s="43"/>
      <c r="K65" s="43"/>
      <c r="L65" s="52"/>
      <c r="M65" s="53"/>
      <c r="N65" s="49"/>
      <c r="O65" s="49"/>
    </row>
    <row r="66" ht="15.75" customHeight="1">
      <c r="A66" s="50"/>
      <c r="B66" s="50"/>
      <c r="C66" s="51"/>
      <c r="D66" s="51"/>
      <c r="E66" s="43"/>
      <c r="F66" s="43"/>
      <c r="G66" s="43"/>
      <c r="H66" s="43"/>
      <c r="I66" s="49"/>
      <c r="J66" s="43"/>
      <c r="K66" s="43"/>
      <c r="L66" s="52"/>
      <c r="M66" s="53"/>
      <c r="N66" s="49"/>
      <c r="O66" s="49"/>
    </row>
    <row r="67" ht="15.75" customHeight="1">
      <c r="A67" s="50"/>
      <c r="B67" s="50"/>
      <c r="C67" s="51"/>
      <c r="D67" s="51"/>
      <c r="E67" s="43"/>
      <c r="F67" s="43"/>
      <c r="G67" s="43"/>
      <c r="H67" s="43"/>
      <c r="I67" s="49"/>
      <c r="J67" s="43"/>
      <c r="K67" s="43"/>
      <c r="L67" s="52"/>
      <c r="M67" s="53"/>
      <c r="N67" s="49"/>
      <c r="O67" s="49"/>
    </row>
    <row r="68" ht="15.75" customHeight="1">
      <c r="A68" s="50"/>
      <c r="B68" s="50"/>
      <c r="C68" s="51"/>
      <c r="D68" s="51"/>
      <c r="E68" s="43"/>
      <c r="F68" s="43"/>
      <c r="G68" s="43"/>
      <c r="H68" s="43"/>
      <c r="I68" s="49"/>
      <c r="J68" s="43"/>
      <c r="K68" s="43"/>
      <c r="L68" s="52"/>
      <c r="M68" s="53"/>
      <c r="N68" s="49"/>
      <c r="O68" s="49"/>
    </row>
    <row r="69" ht="15.75" customHeight="1">
      <c r="A69" s="50"/>
      <c r="B69" s="50"/>
      <c r="C69" s="51"/>
      <c r="D69" s="51"/>
      <c r="E69" s="43"/>
      <c r="F69" s="43"/>
      <c r="G69" s="43"/>
      <c r="H69" s="43"/>
      <c r="I69" s="49"/>
      <c r="J69" s="43"/>
      <c r="K69" s="43"/>
      <c r="L69" s="52"/>
      <c r="M69" s="53"/>
      <c r="N69" s="49"/>
      <c r="O69" s="49"/>
    </row>
    <row r="70" ht="15.75" customHeight="1">
      <c r="A70" s="50"/>
      <c r="B70" s="50"/>
      <c r="C70" s="51"/>
      <c r="D70" s="51"/>
      <c r="E70" s="43"/>
      <c r="F70" s="43"/>
      <c r="G70" s="43"/>
      <c r="H70" s="43"/>
      <c r="I70" s="49"/>
      <c r="J70" s="43"/>
      <c r="K70" s="43"/>
      <c r="L70" s="52"/>
      <c r="M70" s="53"/>
      <c r="N70" s="49"/>
      <c r="O70" s="49"/>
    </row>
    <row r="71" ht="15.75" customHeight="1">
      <c r="A71" s="50"/>
      <c r="B71" s="50"/>
      <c r="C71" s="51"/>
      <c r="D71" s="51"/>
      <c r="E71" s="43"/>
      <c r="F71" s="43"/>
      <c r="G71" s="43"/>
      <c r="H71" s="43"/>
      <c r="I71" s="49"/>
      <c r="J71" s="43"/>
      <c r="K71" s="43"/>
      <c r="L71" s="52"/>
      <c r="M71" s="53"/>
      <c r="N71" s="49"/>
      <c r="O71" s="49"/>
    </row>
    <row r="72" ht="15.75" customHeight="1">
      <c r="A72" s="50"/>
      <c r="B72" s="50"/>
      <c r="C72" s="51"/>
      <c r="D72" s="51"/>
      <c r="E72" s="43"/>
      <c r="F72" s="43"/>
      <c r="G72" s="43"/>
      <c r="H72" s="43"/>
      <c r="I72" s="49"/>
      <c r="J72" s="43"/>
      <c r="K72" s="43"/>
      <c r="L72" s="52"/>
      <c r="M72" s="53"/>
      <c r="N72" s="49"/>
      <c r="O72" s="49"/>
    </row>
    <row r="73" ht="15.75" customHeight="1">
      <c r="A73" s="50"/>
      <c r="B73" s="50"/>
      <c r="C73" s="51"/>
      <c r="D73" s="51"/>
      <c r="E73" s="43"/>
      <c r="F73" s="43"/>
      <c r="G73" s="43"/>
      <c r="H73" s="43"/>
      <c r="I73" s="49"/>
      <c r="J73" s="43"/>
      <c r="K73" s="43"/>
      <c r="L73" s="52"/>
      <c r="M73" s="53"/>
      <c r="N73" s="49"/>
      <c r="O73" s="49"/>
    </row>
    <row r="74" ht="15.75" customHeight="1">
      <c r="A74" s="50"/>
      <c r="B74" s="50"/>
      <c r="C74" s="51"/>
      <c r="D74" s="51"/>
      <c r="E74" s="43"/>
      <c r="F74" s="43"/>
      <c r="G74" s="43"/>
      <c r="H74" s="43"/>
      <c r="I74" s="49"/>
      <c r="J74" s="43"/>
      <c r="K74" s="43"/>
      <c r="L74" s="52"/>
      <c r="M74" s="53"/>
      <c r="N74" s="49"/>
      <c r="O74" s="49"/>
    </row>
    <row r="75" ht="15.75" customHeight="1">
      <c r="A75" s="50"/>
      <c r="B75" s="50"/>
      <c r="C75" s="51"/>
      <c r="D75" s="51"/>
      <c r="E75" s="43"/>
      <c r="F75" s="43"/>
      <c r="G75" s="43"/>
      <c r="H75" s="43"/>
      <c r="I75" s="49"/>
      <c r="J75" s="43"/>
      <c r="K75" s="43"/>
      <c r="L75" s="52"/>
      <c r="M75" s="53"/>
      <c r="N75" s="49"/>
      <c r="O75" s="49"/>
    </row>
    <row r="76" ht="15.75" customHeight="1">
      <c r="A76" s="50"/>
      <c r="B76" s="50"/>
      <c r="C76" s="51"/>
      <c r="D76" s="51"/>
      <c r="E76" s="43"/>
      <c r="F76" s="43"/>
      <c r="G76" s="43"/>
      <c r="H76" s="43"/>
      <c r="I76" s="49"/>
      <c r="J76" s="43"/>
      <c r="K76" s="43"/>
      <c r="L76" s="52"/>
      <c r="M76" s="53"/>
      <c r="N76" s="49"/>
      <c r="O76" s="49"/>
    </row>
    <row r="77" ht="15.75" customHeight="1">
      <c r="A77" s="50"/>
      <c r="B77" s="50"/>
      <c r="C77" s="51"/>
      <c r="D77" s="51"/>
      <c r="E77" s="43"/>
      <c r="F77" s="43"/>
      <c r="G77" s="43"/>
      <c r="H77" s="43"/>
      <c r="I77" s="49"/>
      <c r="J77" s="43"/>
      <c r="K77" s="43"/>
      <c r="L77" s="52"/>
      <c r="M77" s="53"/>
      <c r="N77" s="49"/>
      <c r="O77" s="49"/>
    </row>
    <row r="78" ht="15.75" customHeight="1">
      <c r="A78" s="50"/>
      <c r="B78" s="50"/>
      <c r="C78" s="51"/>
      <c r="D78" s="51"/>
      <c r="E78" s="43"/>
      <c r="F78" s="43"/>
      <c r="G78" s="43"/>
      <c r="H78" s="43"/>
      <c r="I78" s="49"/>
      <c r="J78" s="43"/>
      <c r="K78" s="43"/>
      <c r="L78" s="52"/>
      <c r="M78" s="53"/>
      <c r="N78" s="49"/>
      <c r="O78" s="49"/>
    </row>
    <row r="79" ht="15.75" customHeight="1">
      <c r="A79" s="50"/>
      <c r="B79" s="50"/>
      <c r="C79" s="51"/>
      <c r="D79" s="51"/>
      <c r="E79" s="43"/>
      <c r="F79" s="43"/>
      <c r="G79" s="43"/>
      <c r="H79" s="43"/>
      <c r="I79" s="49"/>
      <c r="J79" s="43"/>
      <c r="K79" s="43"/>
      <c r="L79" s="52"/>
      <c r="M79" s="53"/>
      <c r="N79" s="49"/>
      <c r="O79" s="49"/>
    </row>
    <row r="80" ht="15.75" customHeight="1">
      <c r="A80" s="50"/>
      <c r="B80" s="50"/>
      <c r="C80" s="51"/>
      <c r="D80" s="51"/>
      <c r="E80" s="43"/>
      <c r="F80" s="43"/>
      <c r="G80" s="43"/>
      <c r="H80" s="43"/>
      <c r="I80" s="49"/>
      <c r="J80" s="43"/>
      <c r="K80" s="43"/>
      <c r="L80" s="52"/>
      <c r="M80" s="53"/>
      <c r="N80" s="49"/>
      <c r="O80" s="49"/>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M1"/>
  </mergeCells>
  <conditionalFormatting sqref="J14:J43">
    <cfRule type="cellIs" dxfId="3" priority="1" operator="greaterThan">
      <formula>0</formula>
    </cfRule>
  </conditionalFormatting>
  <conditionalFormatting sqref="J14:J80">
    <cfRule type="expression" dxfId="1" priority="2">
      <formula>J14&gt;0</formula>
    </cfRule>
  </conditionalFormatting>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25.0"/>
    <col customWidth="1" min="3" max="4" width="9.0"/>
    <col customWidth="1" min="5" max="7" width="16.0"/>
    <col customWidth="1" min="8" max="10" width="13.0"/>
    <col customWidth="1" min="11" max="11" width="16.0"/>
    <col customWidth="1" min="12" max="12" width="13.0"/>
    <col customWidth="1" min="13" max="13" width="32.0"/>
    <col customWidth="1" min="14" max="15" width="16.0"/>
  </cols>
  <sheetData>
    <row r="1" ht="30.0" customHeight="1">
      <c r="A1" s="1" t="s">
        <v>125</v>
      </c>
      <c r="N1" s="2"/>
      <c r="O1" s="2"/>
    </row>
    <row r="2">
      <c r="A2" s="3"/>
      <c r="B2" s="3"/>
      <c r="C2" s="3"/>
      <c r="D2" s="3"/>
      <c r="E2" s="3"/>
      <c r="F2" s="3"/>
      <c r="G2" s="3"/>
      <c r="H2" s="3"/>
      <c r="I2" s="3"/>
      <c r="J2" s="3"/>
      <c r="K2" s="3"/>
      <c r="L2" s="3"/>
      <c r="M2" s="3"/>
      <c r="N2" s="3"/>
      <c r="O2" s="3"/>
    </row>
    <row r="3">
      <c r="A3" s="4" t="s">
        <v>95</v>
      </c>
      <c r="B3" s="4" t="s">
        <v>6</v>
      </c>
      <c r="C3" s="3"/>
      <c r="D3" s="4" t="s">
        <v>96</v>
      </c>
      <c r="E3" s="4" t="s">
        <v>6</v>
      </c>
      <c r="F3" s="3"/>
      <c r="G3" s="3"/>
      <c r="H3" s="3"/>
      <c r="I3" s="3"/>
      <c r="J3" s="3"/>
      <c r="K3" s="3"/>
      <c r="L3" s="3"/>
      <c r="M3" s="3"/>
      <c r="N3" s="3"/>
      <c r="O3" s="3"/>
    </row>
    <row r="4">
      <c r="A4" s="38" t="s">
        <v>10</v>
      </c>
      <c r="B4" s="39" t="str">
        <f>IF(DANH_MUC_LOP!B9="","",DANH_MUC_LOP!B9)</f>
        <v/>
      </c>
      <c r="C4" s="3"/>
      <c r="D4" s="40" t="s">
        <v>97</v>
      </c>
      <c r="E4" s="41">
        <f>SUM(J14:J43)</f>
        <v>0</v>
      </c>
      <c r="F4" s="3"/>
      <c r="G4" s="3"/>
      <c r="H4" s="3"/>
      <c r="I4" s="3"/>
      <c r="J4" s="3"/>
      <c r="K4" s="3"/>
      <c r="L4" s="3"/>
      <c r="M4" s="3"/>
      <c r="N4" s="3"/>
      <c r="O4" s="3"/>
    </row>
    <row r="5">
      <c r="A5" s="38" t="s">
        <v>19</v>
      </c>
      <c r="B5" s="39" t="str">
        <f>IF(DANH_MUC_LOP!C9="","",DANH_MUC_LOP!C9)</f>
        <v/>
      </c>
      <c r="C5" s="3"/>
      <c r="D5" s="40" t="s">
        <v>65</v>
      </c>
      <c r="E5" s="41">
        <f>SUM(K14:K43)</f>
        <v>0</v>
      </c>
      <c r="F5" s="3"/>
      <c r="G5" s="3"/>
      <c r="H5" s="3"/>
      <c r="I5" s="3"/>
      <c r="J5" s="3"/>
      <c r="K5" s="3"/>
      <c r="L5" s="3"/>
      <c r="M5" s="3"/>
      <c r="N5" s="3"/>
      <c r="O5" s="3"/>
    </row>
    <row r="6">
      <c r="A6" s="38" t="s">
        <v>98</v>
      </c>
      <c r="B6" s="39" t="str">
        <f>IFERROR(IF(DANH_MUC_LOP!R9&gt;0,DANH_MUC_LOP!R9,LOP_06!$B$16),0)</f>
        <v/>
      </c>
      <c r="C6" s="3"/>
      <c r="D6" s="40" t="s">
        <v>99</v>
      </c>
      <c r="E6" s="41">
        <f>IF(B4="",0,SUMIF(THUONG_HOC_SINH!$A$4:$A$83,B4,THUONG_HOC_SINH!$D$4:$D$83))</f>
        <v>0</v>
      </c>
      <c r="F6" s="3"/>
      <c r="G6" s="3"/>
      <c r="H6" s="3"/>
      <c r="I6" s="3"/>
      <c r="J6" s="3"/>
      <c r="K6" s="3"/>
      <c r="L6" s="3"/>
      <c r="M6" s="3"/>
      <c r="N6" s="3"/>
      <c r="O6" s="3"/>
    </row>
    <row r="7">
      <c r="A7" s="38" t="s">
        <v>23</v>
      </c>
      <c r="B7" s="41" t="str">
        <f>IF(DANH_MUC_LOP!B9="","",DANH_MUC_LOP!F9)</f>
        <v/>
      </c>
      <c r="C7" s="3"/>
      <c r="D7" s="42"/>
      <c r="E7" s="43"/>
      <c r="F7" s="3"/>
      <c r="G7" s="3"/>
      <c r="H7" s="3"/>
      <c r="I7" s="3"/>
      <c r="J7" s="3"/>
      <c r="K7" s="3"/>
      <c r="L7" s="3"/>
      <c r="M7" s="3"/>
      <c r="N7" s="3"/>
      <c r="O7" s="3"/>
    </row>
    <row r="8">
      <c r="A8" s="38" t="s">
        <v>31</v>
      </c>
      <c r="B8" s="39" t="str">
        <f>IF(DANH_MUC_LOP!B9="","",DANH_MUC_LOP!N9)</f>
        <v/>
      </c>
      <c r="C8" s="3"/>
      <c r="D8" s="42"/>
      <c r="E8" s="43"/>
      <c r="F8" s="3"/>
      <c r="G8" s="3"/>
      <c r="H8" s="3"/>
      <c r="I8" s="3"/>
      <c r="J8" s="3"/>
      <c r="K8" s="3"/>
      <c r="L8" s="3"/>
      <c r="M8" s="3"/>
      <c r="N8" s="3"/>
      <c r="O8" s="3"/>
    </row>
    <row r="9">
      <c r="A9" s="38" t="s">
        <v>100</v>
      </c>
      <c r="B9" s="39">
        <f>COUNTIF(A14:A43,"?*")</f>
        <v>0</v>
      </c>
      <c r="C9" s="3"/>
      <c r="D9" s="42"/>
      <c r="E9" s="43"/>
      <c r="F9" s="3"/>
      <c r="G9" s="3"/>
      <c r="H9" s="3"/>
      <c r="I9" s="3"/>
      <c r="J9" s="3"/>
      <c r="K9" s="3"/>
      <c r="L9" s="3"/>
      <c r="M9" s="3"/>
      <c r="N9" s="3"/>
      <c r="O9" s="3"/>
    </row>
    <row r="10">
      <c r="A10" s="38" t="s">
        <v>101</v>
      </c>
      <c r="B10" s="41">
        <f>SUM(H14:H43)</f>
        <v>0</v>
      </c>
      <c r="C10" s="3"/>
      <c r="D10" s="42"/>
      <c r="E10" s="43"/>
      <c r="F10" s="3"/>
      <c r="G10" s="3"/>
      <c r="H10" s="3"/>
      <c r="I10" s="3"/>
      <c r="J10" s="3"/>
      <c r="K10" s="3"/>
      <c r="L10" s="3"/>
      <c r="M10" s="3"/>
      <c r="N10" s="3"/>
      <c r="O10" s="3"/>
    </row>
    <row r="11">
      <c r="A11" s="38" t="s">
        <v>102</v>
      </c>
      <c r="B11" s="41">
        <f>SUM(I14:I43)</f>
        <v>0</v>
      </c>
      <c r="C11" s="3"/>
      <c r="D11" s="42"/>
      <c r="E11" s="43"/>
      <c r="F11" s="3"/>
      <c r="G11" s="3"/>
      <c r="H11" s="3"/>
      <c r="I11" s="3"/>
      <c r="J11" s="3"/>
      <c r="K11" s="3"/>
      <c r="L11" s="3"/>
      <c r="M11" s="3"/>
      <c r="N11" s="3"/>
      <c r="O11" s="3"/>
    </row>
    <row r="12">
      <c r="A12" s="3"/>
      <c r="B12" s="3"/>
      <c r="C12" s="3"/>
      <c r="D12" s="3"/>
      <c r="E12" s="3"/>
      <c r="F12" s="3"/>
      <c r="G12" s="3"/>
      <c r="H12" s="3"/>
      <c r="I12" s="3"/>
      <c r="J12" s="3"/>
      <c r="K12" s="3"/>
      <c r="L12" s="3"/>
      <c r="M12" s="3"/>
      <c r="N12" s="3"/>
      <c r="O12" s="3"/>
    </row>
    <row r="13" ht="27.75" customHeight="1">
      <c r="A13" s="5" t="s">
        <v>14</v>
      </c>
      <c r="B13" s="5" t="s">
        <v>16</v>
      </c>
      <c r="C13" s="5" t="s">
        <v>104</v>
      </c>
      <c r="D13" s="5" t="s">
        <v>105</v>
      </c>
      <c r="E13" s="5" t="s">
        <v>106</v>
      </c>
      <c r="F13" s="5" t="s">
        <v>107</v>
      </c>
      <c r="G13" s="5" t="s">
        <v>64</v>
      </c>
      <c r="H13" s="5" t="s">
        <v>108</v>
      </c>
      <c r="I13" s="5" t="s">
        <v>102</v>
      </c>
      <c r="J13" s="5" t="s">
        <v>97</v>
      </c>
      <c r="K13" s="5" t="s">
        <v>65</v>
      </c>
      <c r="L13" s="5" t="s">
        <v>109</v>
      </c>
      <c r="M13" s="5" t="s">
        <v>15</v>
      </c>
      <c r="N13" s="5" t="s">
        <v>110</v>
      </c>
      <c r="O13" s="5" t="s">
        <v>111</v>
      </c>
    </row>
    <row r="14">
      <c r="A14" s="45" t="str">
        <f>IFERROR(LOP_06!$A$21,"")</f>
        <v/>
      </c>
      <c r="B14" s="45" t="str">
        <f>IFERROR(LOP_06!$B$21,"")</f>
        <v/>
      </c>
      <c r="C14" s="46" t="str">
        <f>IFERROR(LOP_06!$AH$21,"")</f>
        <v/>
      </c>
      <c r="D14" s="46" t="str">
        <f>IFERROR(LOP_06!$AI$21,"")</f>
        <v/>
      </c>
      <c r="E14" s="41" t="str">
        <f t="shared" ref="E14:E43" si="1">IF(A14="","",$B$7)</f>
        <v/>
      </c>
      <c r="F14" s="41" t="str">
        <f t="shared" ref="F14:F43" si="2">IF(A14="","",IF($B$8="Thu trước",$B$6*E14,C14*E14))</f>
        <v/>
      </c>
      <c r="G14" s="41" t="str">
        <f>IF(A14="","",SUMIFS(CHUYEN_THANG!$D$4:$D$403,CHUYEN_THANG!$A$4:$A$403,$B$4,CHUYEN_THANG!$B$4:$B$403,A14))</f>
        <v/>
      </c>
      <c r="H14" s="41" t="str">
        <f t="shared" ref="H14:H43" si="3">IF(A14="","",IF(O14&lt;&gt;"",MAX(0,O14),MAX(0,F14-G14+N14)))</f>
        <v/>
      </c>
      <c r="I14" s="11"/>
      <c r="J14" s="41" t="str">
        <f t="shared" ref="J14:J43" si="4">IF(A14="","",MAX(0,H14-I14))</f>
        <v/>
      </c>
      <c r="K14" s="41" t="str">
        <f t="shared" ref="K14:K43" si="5">IF(A14="","",IF($B$8="Thu trước",D14*E14,0))</f>
        <v/>
      </c>
      <c r="L14" s="48"/>
      <c r="M14" s="9"/>
      <c r="N14" s="49"/>
      <c r="O14" s="49"/>
    </row>
    <row r="15">
      <c r="A15" s="45" t="str">
        <f>IFERROR(LOP_06!$A$22,"")</f>
        <v/>
      </c>
      <c r="B15" s="45" t="str">
        <f>IFERROR(LOP_06!$B$22,"")</f>
        <v/>
      </c>
      <c r="C15" s="46" t="str">
        <f>IFERROR(LOP_06!$AH$22,"")</f>
        <v/>
      </c>
      <c r="D15" s="46" t="str">
        <f>IFERROR(LOP_06!$AI$22,"")</f>
        <v/>
      </c>
      <c r="E15" s="41" t="str">
        <f t="shared" si="1"/>
        <v/>
      </c>
      <c r="F15" s="41" t="str">
        <f t="shared" si="2"/>
        <v/>
      </c>
      <c r="G15" s="41" t="str">
        <f>IF(A15="","",SUMIFS(CHUYEN_THANG!$D$4:$D$403,CHUYEN_THANG!$A$4:$A$403,$B$4,CHUYEN_THANG!$B$4:$B$403,A15))</f>
        <v/>
      </c>
      <c r="H15" s="41" t="str">
        <f t="shared" si="3"/>
        <v/>
      </c>
      <c r="I15" s="11"/>
      <c r="J15" s="41" t="str">
        <f t="shared" si="4"/>
        <v/>
      </c>
      <c r="K15" s="41" t="str">
        <f t="shared" si="5"/>
        <v/>
      </c>
      <c r="L15" s="48"/>
      <c r="M15" s="9"/>
      <c r="N15" s="49"/>
      <c r="O15" s="49"/>
    </row>
    <row r="16">
      <c r="A16" s="45" t="str">
        <f>IFERROR(LOP_06!$A$23,"")</f>
        <v/>
      </c>
      <c r="B16" s="45" t="str">
        <f>IFERROR(LOP_06!$B$23,"")</f>
        <v/>
      </c>
      <c r="C16" s="46" t="str">
        <f>IFERROR(LOP_06!$AH$23,"")</f>
        <v/>
      </c>
      <c r="D16" s="46" t="str">
        <f>IFERROR(LOP_06!$AI$23,"")</f>
        <v/>
      </c>
      <c r="E16" s="41" t="str">
        <f t="shared" si="1"/>
        <v/>
      </c>
      <c r="F16" s="41" t="str">
        <f t="shared" si="2"/>
        <v/>
      </c>
      <c r="G16" s="41" t="str">
        <f>IF(A16="","",SUMIFS(CHUYEN_THANG!$D$4:$D$403,CHUYEN_THANG!$A$4:$A$403,$B$4,CHUYEN_THANG!$B$4:$B$403,A16))</f>
        <v/>
      </c>
      <c r="H16" s="41" t="str">
        <f t="shared" si="3"/>
        <v/>
      </c>
      <c r="I16" s="11"/>
      <c r="J16" s="41" t="str">
        <f t="shared" si="4"/>
        <v/>
      </c>
      <c r="K16" s="41" t="str">
        <f t="shared" si="5"/>
        <v/>
      </c>
      <c r="L16" s="48"/>
      <c r="M16" s="9"/>
      <c r="N16" s="49"/>
      <c r="O16" s="49"/>
    </row>
    <row r="17">
      <c r="A17" s="45" t="str">
        <f>IFERROR(LOP_06!$A$24,"")</f>
        <v/>
      </c>
      <c r="B17" s="45" t="str">
        <f>IFERROR(LOP_06!$B$24,"")</f>
        <v/>
      </c>
      <c r="C17" s="46" t="str">
        <f>IFERROR(LOP_06!$AH$24,"")</f>
        <v/>
      </c>
      <c r="D17" s="46" t="str">
        <f>IFERROR(LOP_06!$AI$24,"")</f>
        <v/>
      </c>
      <c r="E17" s="41" t="str">
        <f t="shared" si="1"/>
        <v/>
      </c>
      <c r="F17" s="41" t="str">
        <f t="shared" si="2"/>
        <v/>
      </c>
      <c r="G17" s="41" t="str">
        <f>IF(A17="","",SUMIFS(CHUYEN_THANG!$D$4:$D$403,CHUYEN_THANG!$A$4:$A$403,$B$4,CHUYEN_THANG!$B$4:$B$403,A17))</f>
        <v/>
      </c>
      <c r="H17" s="41" t="str">
        <f t="shared" si="3"/>
        <v/>
      </c>
      <c r="I17" s="11"/>
      <c r="J17" s="41" t="str">
        <f t="shared" si="4"/>
        <v/>
      </c>
      <c r="K17" s="41" t="str">
        <f t="shared" si="5"/>
        <v/>
      </c>
      <c r="L17" s="48"/>
      <c r="M17" s="9"/>
      <c r="N17" s="49"/>
      <c r="O17" s="49"/>
    </row>
    <row r="18">
      <c r="A18" s="45" t="str">
        <f>IFERROR(LOP_06!$A$25,"")</f>
        <v/>
      </c>
      <c r="B18" s="45" t="str">
        <f>IFERROR(LOP_06!$B$25,"")</f>
        <v/>
      </c>
      <c r="C18" s="46" t="str">
        <f>IFERROR(LOP_06!$AH$25,"")</f>
        <v/>
      </c>
      <c r="D18" s="46" t="str">
        <f>IFERROR(LOP_06!$AI$25,"")</f>
        <v/>
      </c>
      <c r="E18" s="41" t="str">
        <f t="shared" si="1"/>
        <v/>
      </c>
      <c r="F18" s="41" t="str">
        <f t="shared" si="2"/>
        <v/>
      </c>
      <c r="G18" s="41" t="str">
        <f>IF(A18="","",SUMIFS(CHUYEN_THANG!$D$4:$D$403,CHUYEN_THANG!$A$4:$A$403,$B$4,CHUYEN_THANG!$B$4:$B$403,A18))</f>
        <v/>
      </c>
      <c r="H18" s="41" t="str">
        <f t="shared" si="3"/>
        <v/>
      </c>
      <c r="I18" s="11"/>
      <c r="J18" s="41" t="str">
        <f t="shared" si="4"/>
        <v/>
      </c>
      <c r="K18" s="41" t="str">
        <f t="shared" si="5"/>
        <v/>
      </c>
      <c r="L18" s="48"/>
      <c r="M18" s="9"/>
      <c r="N18" s="49"/>
      <c r="O18" s="49"/>
    </row>
    <row r="19">
      <c r="A19" s="45" t="str">
        <f>IFERROR(LOP_06!$A$26,"")</f>
        <v/>
      </c>
      <c r="B19" s="45" t="str">
        <f>IFERROR(LOP_06!$B$26,"")</f>
        <v/>
      </c>
      <c r="C19" s="46" t="str">
        <f>IFERROR(LOP_06!$AH$26,"")</f>
        <v/>
      </c>
      <c r="D19" s="46" t="str">
        <f>IFERROR(LOP_06!$AI$26,"")</f>
        <v/>
      </c>
      <c r="E19" s="41" t="str">
        <f t="shared" si="1"/>
        <v/>
      </c>
      <c r="F19" s="41" t="str">
        <f t="shared" si="2"/>
        <v/>
      </c>
      <c r="G19" s="41" t="str">
        <f>IF(A19="","",SUMIFS(CHUYEN_THANG!$D$4:$D$403,CHUYEN_THANG!$A$4:$A$403,$B$4,CHUYEN_THANG!$B$4:$B$403,A19))</f>
        <v/>
      </c>
      <c r="H19" s="41" t="str">
        <f t="shared" si="3"/>
        <v/>
      </c>
      <c r="I19" s="11"/>
      <c r="J19" s="41" t="str">
        <f t="shared" si="4"/>
        <v/>
      </c>
      <c r="K19" s="41" t="str">
        <f t="shared" si="5"/>
        <v/>
      </c>
      <c r="L19" s="48"/>
      <c r="M19" s="9"/>
      <c r="N19" s="49"/>
      <c r="O19" s="49"/>
    </row>
    <row r="20">
      <c r="A20" s="45" t="str">
        <f>IFERROR(LOP_06!$A$27,"")</f>
        <v/>
      </c>
      <c r="B20" s="45" t="str">
        <f>IFERROR(LOP_06!$B$27,"")</f>
        <v/>
      </c>
      <c r="C20" s="46" t="str">
        <f>IFERROR(LOP_06!$AH$27,"")</f>
        <v/>
      </c>
      <c r="D20" s="46" t="str">
        <f>IFERROR(LOP_06!$AI$27,"")</f>
        <v/>
      </c>
      <c r="E20" s="41" t="str">
        <f t="shared" si="1"/>
        <v/>
      </c>
      <c r="F20" s="41" t="str">
        <f t="shared" si="2"/>
        <v/>
      </c>
      <c r="G20" s="41" t="str">
        <f>IF(A20="","",SUMIFS(CHUYEN_THANG!$D$4:$D$403,CHUYEN_THANG!$A$4:$A$403,$B$4,CHUYEN_THANG!$B$4:$B$403,A20))</f>
        <v/>
      </c>
      <c r="H20" s="41" t="str">
        <f t="shared" si="3"/>
        <v/>
      </c>
      <c r="I20" s="11"/>
      <c r="J20" s="41" t="str">
        <f t="shared" si="4"/>
        <v/>
      </c>
      <c r="K20" s="41" t="str">
        <f t="shared" si="5"/>
        <v/>
      </c>
      <c r="L20" s="48"/>
      <c r="M20" s="9"/>
      <c r="N20" s="49"/>
      <c r="O20" s="49"/>
    </row>
    <row r="21" ht="15.75" customHeight="1">
      <c r="A21" s="45" t="str">
        <f>IFERROR(LOP_06!$A$28,"")</f>
        <v/>
      </c>
      <c r="B21" s="45" t="str">
        <f>IFERROR(LOP_06!$B$28,"")</f>
        <v/>
      </c>
      <c r="C21" s="46" t="str">
        <f>IFERROR(LOP_06!$AH$28,"")</f>
        <v/>
      </c>
      <c r="D21" s="46" t="str">
        <f>IFERROR(LOP_06!$AI$28,"")</f>
        <v/>
      </c>
      <c r="E21" s="41" t="str">
        <f t="shared" si="1"/>
        <v/>
      </c>
      <c r="F21" s="41" t="str">
        <f t="shared" si="2"/>
        <v/>
      </c>
      <c r="G21" s="41" t="str">
        <f>IF(A21="","",SUMIFS(CHUYEN_THANG!$D$4:$D$403,CHUYEN_THANG!$A$4:$A$403,$B$4,CHUYEN_THANG!$B$4:$B$403,A21))</f>
        <v/>
      </c>
      <c r="H21" s="41" t="str">
        <f t="shared" si="3"/>
        <v/>
      </c>
      <c r="I21" s="11"/>
      <c r="J21" s="41" t="str">
        <f t="shared" si="4"/>
        <v/>
      </c>
      <c r="K21" s="41" t="str">
        <f t="shared" si="5"/>
        <v/>
      </c>
      <c r="L21" s="48"/>
      <c r="M21" s="9"/>
      <c r="N21" s="49"/>
      <c r="O21" s="49"/>
    </row>
    <row r="22" ht="15.75" customHeight="1">
      <c r="A22" s="45" t="str">
        <f>IFERROR(LOP_06!$A$29,"")</f>
        <v/>
      </c>
      <c r="B22" s="45" t="str">
        <f>IFERROR(LOP_06!$B$29,"")</f>
        <v/>
      </c>
      <c r="C22" s="46" t="str">
        <f>IFERROR(LOP_06!$AH$29,"")</f>
        <v/>
      </c>
      <c r="D22" s="46" t="str">
        <f>IFERROR(LOP_06!$AI$29,"")</f>
        <v/>
      </c>
      <c r="E22" s="41" t="str">
        <f t="shared" si="1"/>
        <v/>
      </c>
      <c r="F22" s="41" t="str">
        <f t="shared" si="2"/>
        <v/>
      </c>
      <c r="G22" s="41" t="str">
        <f>IF(A22="","",SUMIFS(CHUYEN_THANG!$D$4:$D$403,CHUYEN_THANG!$A$4:$A$403,$B$4,CHUYEN_THANG!$B$4:$B$403,A22))</f>
        <v/>
      </c>
      <c r="H22" s="41" t="str">
        <f t="shared" si="3"/>
        <v/>
      </c>
      <c r="I22" s="11"/>
      <c r="J22" s="41" t="str">
        <f t="shared" si="4"/>
        <v/>
      </c>
      <c r="K22" s="41" t="str">
        <f t="shared" si="5"/>
        <v/>
      </c>
      <c r="L22" s="48"/>
      <c r="M22" s="9"/>
      <c r="N22" s="49"/>
      <c r="O22" s="49"/>
    </row>
    <row r="23" ht="15.75" customHeight="1">
      <c r="A23" s="45" t="str">
        <f>IFERROR(LOP_06!$A$30,"")</f>
        <v/>
      </c>
      <c r="B23" s="45" t="str">
        <f>IFERROR(LOP_06!$B$30,"")</f>
        <v/>
      </c>
      <c r="C23" s="46" t="str">
        <f>IFERROR(LOP_06!$AH$30,"")</f>
        <v/>
      </c>
      <c r="D23" s="46" t="str">
        <f>IFERROR(LOP_06!$AI$30,"")</f>
        <v/>
      </c>
      <c r="E23" s="41" t="str">
        <f t="shared" si="1"/>
        <v/>
      </c>
      <c r="F23" s="41" t="str">
        <f t="shared" si="2"/>
        <v/>
      </c>
      <c r="G23" s="41" t="str">
        <f>IF(A23="","",SUMIFS(CHUYEN_THANG!$D$4:$D$403,CHUYEN_THANG!$A$4:$A$403,$B$4,CHUYEN_THANG!$B$4:$B$403,A23))</f>
        <v/>
      </c>
      <c r="H23" s="41" t="str">
        <f t="shared" si="3"/>
        <v/>
      </c>
      <c r="I23" s="11"/>
      <c r="J23" s="41" t="str">
        <f t="shared" si="4"/>
        <v/>
      </c>
      <c r="K23" s="41" t="str">
        <f t="shared" si="5"/>
        <v/>
      </c>
      <c r="L23" s="48"/>
      <c r="M23" s="9"/>
      <c r="N23" s="49"/>
      <c r="O23" s="49"/>
    </row>
    <row r="24" ht="15.75" customHeight="1">
      <c r="A24" s="45" t="str">
        <f>IFERROR(LOP_06!$A$31,"")</f>
        <v/>
      </c>
      <c r="B24" s="45" t="str">
        <f>IFERROR(LOP_06!$B$31,"")</f>
        <v/>
      </c>
      <c r="C24" s="46" t="str">
        <f>IFERROR(LOP_06!$AH$31,"")</f>
        <v/>
      </c>
      <c r="D24" s="46" t="str">
        <f>IFERROR(LOP_06!$AI$31,"")</f>
        <v/>
      </c>
      <c r="E24" s="41" t="str">
        <f t="shared" si="1"/>
        <v/>
      </c>
      <c r="F24" s="41" t="str">
        <f t="shared" si="2"/>
        <v/>
      </c>
      <c r="G24" s="41" t="str">
        <f>IF(A24="","",SUMIFS(CHUYEN_THANG!$D$4:$D$403,CHUYEN_THANG!$A$4:$A$403,$B$4,CHUYEN_THANG!$B$4:$B$403,A24))</f>
        <v/>
      </c>
      <c r="H24" s="41" t="str">
        <f t="shared" si="3"/>
        <v/>
      </c>
      <c r="I24" s="11"/>
      <c r="J24" s="41" t="str">
        <f t="shared" si="4"/>
        <v/>
      </c>
      <c r="K24" s="41" t="str">
        <f t="shared" si="5"/>
        <v/>
      </c>
      <c r="L24" s="48"/>
      <c r="M24" s="9"/>
      <c r="N24" s="49"/>
      <c r="O24" s="49"/>
    </row>
    <row r="25" ht="15.75" customHeight="1">
      <c r="A25" s="45" t="str">
        <f>IFERROR(LOP_06!$A$32,"")</f>
        <v/>
      </c>
      <c r="B25" s="45" t="str">
        <f>IFERROR(LOP_06!$B$32,"")</f>
        <v/>
      </c>
      <c r="C25" s="46" t="str">
        <f>IFERROR(LOP_06!$AH$32,"")</f>
        <v/>
      </c>
      <c r="D25" s="46" t="str">
        <f>IFERROR(LOP_06!$AI$32,"")</f>
        <v/>
      </c>
      <c r="E25" s="41" t="str">
        <f t="shared" si="1"/>
        <v/>
      </c>
      <c r="F25" s="41" t="str">
        <f t="shared" si="2"/>
        <v/>
      </c>
      <c r="G25" s="41" t="str">
        <f>IF(A25="","",SUMIFS(CHUYEN_THANG!$D$4:$D$403,CHUYEN_THANG!$A$4:$A$403,$B$4,CHUYEN_THANG!$B$4:$B$403,A25))</f>
        <v/>
      </c>
      <c r="H25" s="41" t="str">
        <f t="shared" si="3"/>
        <v/>
      </c>
      <c r="I25" s="11"/>
      <c r="J25" s="41" t="str">
        <f t="shared" si="4"/>
        <v/>
      </c>
      <c r="K25" s="41" t="str">
        <f t="shared" si="5"/>
        <v/>
      </c>
      <c r="L25" s="48"/>
      <c r="M25" s="9"/>
      <c r="N25" s="49"/>
      <c r="O25" s="49"/>
    </row>
    <row r="26" ht="15.75" customHeight="1">
      <c r="A26" s="45" t="str">
        <f>IFERROR(LOP_06!$A$33,"")</f>
        <v/>
      </c>
      <c r="B26" s="45" t="str">
        <f>IFERROR(LOP_06!$B$33,"")</f>
        <v/>
      </c>
      <c r="C26" s="46" t="str">
        <f>IFERROR(LOP_06!$AH$33,"")</f>
        <v/>
      </c>
      <c r="D26" s="46" t="str">
        <f>IFERROR(LOP_06!$AI$33,"")</f>
        <v/>
      </c>
      <c r="E26" s="41" t="str">
        <f t="shared" si="1"/>
        <v/>
      </c>
      <c r="F26" s="41" t="str">
        <f t="shared" si="2"/>
        <v/>
      </c>
      <c r="G26" s="41" t="str">
        <f>IF(A26="","",SUMIFS(CHUYEN_THANG!$D$4:$D$403,CHUYEN_THANG!$A$4:$A$403,$B$4,CHUYEN_THANG!$B$4:$B$403,A26))</f>
        <v/>
      </c>
      <c r="H26" s="41" t="str">
        <f t="shared" si="3"/>
        <v/>
      </c>
      <c r="I26" s="11"/>
      <c r="J26" s="41" t="str">
        <f t="shared" si="4"/>
        <v/>
      </c>
      <c r="K26" s="41" t="str">
        <f t="shared" si="5"/>
        <v/>
      </c>
      <c r="L26" s="48"/>
      <c r="M26" s="9"/>
      <c r="N26" s="49"/>
      <c r="O26" s="49"/>
    </row>
    <row r="27" ht="15.75" customHeight="1">
      <c r="A27" s="45" t="str">
        <f>IFERROR(LOP_06!$A$34,"")</f>
        <v/>
      </c>
      <c r="B27" s="45" t="str">
        <f>IFERROR(LOP_06!$B$34,"")</f>
        <v/>
      </c>
      <c r="C27" s="46" t="str">
        <f>IFERROR(LOP_06!$AH$34,"")</f>
        <v/>
      </c>
      <c r="D27" s="46" t="str">
        <f>IFERROR(LOP_06!$AI$34,"")</f>
        <v/>
      </c>
      <c r="E27" s="41" t="str">
        <f t="shared" si="1"/>
        <v/>
      </c>
      <c r="F27" s="41" t="str">
        <f t="shared" si="2"/>
        <v/>
      </c>
      <c r="G27" s="41" t="str">
        <f>IF(A27="","",SUMIFS(CHUYEN_THANG!$D$4:$D$403,CHUYEN_THANG!$A$4:$A$403,$B$4,CHUYEN_THANG!$B$4:$B$403,A27))</f>
        <v/>
      </c>
      <c r="H27" s="41" t="str">
        <f t="shared" si="3"/>
        <v/>
      </c>
      <c r="I27" s="11"/>
      <c r="J27" s="41" t="str">
        <f t="shared" si="4"/>
        <v/>
      </c>
      <c r="K27" s="41" t="str">
        <f t="shared" si="5"/>
        <v/>
      </c>
      <c r="L27" s="48"/>
      <c r="M27" s="9"/>
      <c r="N27" s="49"/>
      <c r="O27" s="49"/>
    </row>
    <row r="28" ht="15.75" customHeight="1">
      <c r="A28" s="45" t="str">
        <f>IFERROR(LOP_06!$A$35,"")</f>
        <v/>
      </c>
      <c r="B28" s="45" t="str">
        <f>IFERROR(LOP_06!$B$35,"")</f>
        <v/>
      </c>
      <c r="C28" s="46" t="str">
        <f>IFERROR(LOP_06!$AH$35,"")</f>
        <v/>
      </c>
      <c r="D28" s="46" t="str">
        <f>IFERROR(LOP_06!$AI$35,"")</f>
        <v/>
      </c>
      <c r="E28" s="41" t="str">
        <f t="shared" si="1"/>
        <v/>
      </c>
      <c r="F28" s="41" t="str">
        <f t="shared" si="2"/>
        <v/>
      </c>
      <c r="G28" s="41" t="str">
        <f>IF(A28="","",SUMIFS(CHUYEN_THANG!$D$4:$D$403,CHUYEN_THANG!$A$4:$A$403,$B$4,CHUYEN_THANG!$B$4:$B$403,A28))</f>
        <v/>
      </c>
      <c r="H28" s="41" t="str">
        <f t="shared" si="3"/>
        <v/>
      </c>
      <c r="I28" s="11"/>
      <c r="J28" s="41" t="str">
        <f t="shared" si="4"/>
        <v/>
      </c>
      <c r="K28" s="41" t="str">
        <f t="shared" si="5"/>
        <v/>
      </c>
      <c r="L28" s="48"/>
      <c r="M28" s="9"/>
      <c r="N28" s="49"/>
      <c r="O28" s="49"/>
    </row>
    <row r="29" ht="15.75" customHeight="1">
      <c r="A29" s="45" t="str">
        <f>IFERROR(LOP_06!$A$36,"")</f>
        <v/>
      </c>
      <c r="B29" s="45" t="str">
        <f>IFERROR(LOP_06!$B$36,"")</f>
        <v/>
      </c>
      <c r="C29" s="46" t="str">
        <f>IFERROR(LOP_06!$AH$36,"")</f>
        <v/>
      </c>
      <c r="D29" s="46" t="str">
        <f>IFERROR(LOP_06!$AI$36,"")</f>
        <v/>
      </c>
      <c r="E29" s="41" t="str">
        <f t="shared" si="1"/>
        <v/>
      </c>
      <c r="F29" s="41" t="str">
        <f t="shared" si="2"/>
        <v/>
      </c>
      <c r="G29" s="41" t="str">
        <f>IF(A29="","",SUMIFS(CHUYEN_THANG!$D$4:$D$403,CHUYEN_THANG!$A$4:$A$403,$B$4,CHUYEN_THANG!$B$4:$B$403,A29))</f>
        <v/>
      </c>
      <c r="H29" s="41" t="str">
        <f t="shared" si="3"/>
        <v/>
      </c>
      <c r="I29" s="11"/>
      <c r="J29" s="41" t="str">
        <f t="shared" si="4"/>
        <v/>
      </c>
      <c r="K29" s="41" t="str">
        <f t="shared" si="5"/>
        <v/>
      </c>
      <c r="L29" s="48"/>
      <c r="M29" s="9"/>
      <c r="N29" s="49"/>
      <c r="O29" s="49"/>
    </row>
    <row r="30" ht="15.75" customHeight="1">
      <c r="A30" s="45" t="str">
        <f>IFERROR(LOP_06!$A$37,"")</f>
        <v/>
      </c>
      <c r="B30" s="45" t="str">
        <f>IFERROR(LOP_06!$B$37,"")</f>
        <v/>
      </c>
      <c r="C30" s="46" t="str">
        <f>IFERROR(LOP_06!$AH$37,"")</f>
        <v/>
      </c>
      <c r="D30" s="46" t="str">
        <f>IFERROR(LOP_06!$AI$37,"")</f>
        <v/>
      </c>
      <c r="E30" s="41" t="str">
        <f t="shared" si="1"/>
        <v/>
      </c>
      <c r="F30" s="41" t="str">
        <f t="shared" si="2"/>
        <v/>
      </c>
      <c r="G30" s="41" t="str">
        <f>IF(A30="","",SUMIFS(CHUYEN_THANG!$D$4:$D$403,CHUYEN_THANG!$A$4:$A$403,$B$4,CHUYEN_THANG!$B$4:$B$403,A30))</f>
        <v/>
      </c>
      <c r="H30" s="41" t="str">
        <f t="shared" si="3"/>
        <v/>
      </c>
      <c r="I30" s="11"/>
      <c r="J30" s="41" t="str">
        <f t="shared" si="4"/>
        <v/>
      </c>
      <c r="K30" s="41" t="str">
        <f t="shared" si="5"/>
        <v/>
      </c>
      <c r="L30" s="48"/>
      <c r="M30" s="9"/>
      <c r="N30" s="49"/>
      <c r="O30" s="49"/>
    </row>
    <row r="31" ht="15.75" customHeight="1">
      <c r="A31" s="45" t="str">
        <f>IFERROR(LOP_06!$A$38,"")</f>
        <v/>
      </c>
      <c r="B31" s="45" t="str">
        <f>IFERROR(LOP_06!$B$38,"")</f>
        <v/>
      </c>
      <c r="C31" s="46" t="str">
        <f>IFERROR(LOP_06!$AH$38,"")</f>
        <v/>
      </c>
      <c r="D31" s="46" t="str">
        <f>IFERROR(LOP_06!$AI$38,"")</f>
        <v/>
      </c>
      <c r="E31" s="41" t="str">
        <f t="shared" si="1"/>
        <v/>
      </c>
      <c r="F31" s="41" t="str">
        <f t="shared" si="2"/>
        <v/>
      </c>
      <c r="G31" s="41" t="str">
        <f>IF(A31="","",SUMIFS(CHUYEN_THANG!$D$4:$D$403,CHUYEN_THANG!$A$4:$A$403,$B$4,CHUYEN_THANG!$B$4:$B$403,A31))</f>
        <v/>
      </c>
      <c r="H31" s="41" t="str">
        <f t="shared" si="3"/>
        <v/>
      </c>
      <c r="I31" s="11"/>
      <c r="J31" s="41" t="str">
        <f t="shared" si="4"/>
        <v/>
      </c>
      <c r="K31" s="41" t="str">
        <f t="shared" si="5"/>
        <v/>
      </c>
      <c r="L31" s="48"/>
      <c r="M31" s="9"/>
      <c r="N31" s="49"/>
      <c r="O31" s="49"/>
    </row>
    <row r="32" ht="15.75" customHeight="1">
      <c r="A32" s="45" t="str">
        <f>IFERROR(LOP_06!$A$39,"")</f>
        <v/>
      </c>
      <c r="B32" s="45" t="str">
        <f>IFERROR(LOP_06!$B$39,"")</f>
        <v/>
      </c>
      <c r="C32" s="46" t="str">
        <f>IFERROR(LOP_06!$AH$39,"")</f>
        <v/>
      </c>
      <c r="D32" s="46" t="str">
        <f>IFERROR(LOP_06!$AI$39,"")</f>
        <v/>
      </c>
      <c r="E32" s="41" t="str">
        <f t="shared" si="1"/>
        <v/>
      </c>
      <c r="F32" s="41" t="str">
        <f t="shared" si="2"/>
        <v/>
      </c>
      <c r="G32" s="41" t="str">
        <f>IF(A32="","",SUMIFS(CHUYEN_THANG!$D$4:$D$403,CHUYEN_THANG!$A$4:$A$403,$B$4,CHUYEN_THANG!$B$4:$B$403,A32))</f>
        <v/>
      </c>
      <c r="H32" s="41" t="str">
        <f t="shared" si="3"/>
        <v/>
      </c>
      <c r="I32" s="11"/>
      <c r="J32" s="41" t="str">
        <f t="shared" si="4"/>
        <v/>
      </c>
      <c r="K32" s="41" t="str">
        <f t="shared" si="5"/>
        <v/>
      </c>
      <c r="L32" s="48"/>
      <c r="M32" s="9"/>
      <c r="N32" s="49"/>
      <c r="O32" s="49"/>
    </row>
    <row r="33" ht="15.75" customHeight="1">
      <c r="A33" s="45" t="str">
        <f>IFERROR(LOP_06!$A$40,"")</f>
        <v/>
      </c>
      <c r="B33" s="45" t="str">
        <f>IFERROR(LOP_06!$B$40,"")</f>
        <v/>
      </c>
      <c r="C33" s="46" t="str">
        <f>IFERROR(LOP_06!$AH$40,"")</f>
        <v/>
      </c>
      <c r="D33" s="46" t="str">
        <f>IFERROR(LOP_06!$AI$40,"")</f>
        <v/>
      </c>
      <c r="E33" s="41" t="str">
        <f t="shared" si="1"/>
        <v/>
      </c>
      <c r="F33" s="41" t="str">
        <f t="shared" si="2"/>
        <v/>
      </c>
      <c r="G33" s="41" t="str">
        <f>IF(A33="","",SUMIFS(CHUYEN_THANG!$D$4:$D$403,CHUYEN_THANG!$A$4:$A$403,$B$4,CHUYEN_THANG!$B$4:$B$403,A33))</f>
        <v/>
      </c>
      <c r="H33" s="41" t="str">
        <f t="shared" si="3"/>
        <v/>
      </c>
      <c r="I33" s="11"/>
      <c r="J33" s="41" t="str">
        <f t="shared" si="4"/>
        <v/>
      </c>
      <c r="K33" s="41" t="str">
        <f t="shared" si="5"/>
        <v/>
      </c>
      <c r="L33" s="48"/>
      <c r="M33" s="9"/>
      <c r="N33" s="49"/>
      <c r="O33" s="49"/>
    </row>
    <row r="34" ht="15.75" customHeight="1">
      <c r="A34" s="45" t="str">
        <f>IFERROR(LOP_06!$A$41,"")</f>
        <v/>
      </c>
      <c r="B34" s="45" t="str">
        <f>IFERROR(LOP_06!$B$41,"")</f>
        <v/>
      </c>
      <c r="C34" s="46" t="str">
        <f>IFERROR(LOP_06!$AH$41,"")</f>
        <v/>
      </c>
      <c r="D34" s="46" t="str">
        <f>IFERROR(LOP_06!$AI$41,"")</f>
        <v/>
      </c>
      <c r="E34" s="41" t="str">
        <f t="shared" si="1"/>
        <v/>
      </c>
      <c r="F34" s="41" t="str">
        <f t="shared" si="2"/>
        <v/>
      </c>
      <c r="G34" s="41" t="str">
        <f>IF(A34="","",SUMIFS(CHUYEN_THANG!$D$4:$D$403,CHUYEN_THANG!$A$4:$A$403,$B$4,CHUYEN_THANG!$B$4:$B$403,A34))</f>
        <v/>
      </c>
      <c r="H34" s="41" t="str">
        <f t="shared" si="3"/>
        <v/>
      </c>
      <c r="I34" s="11"/>
      <c r="J34" s="41" t="str">
        <f t="shared" si="4"/>
        <v/>
      </c>
      <c r="K34" s="41" t="str">
        <f t="shared" si="5"/>
        <v/>
      </c>
      <c r="L34" s="48"/>
      <c r="M34" s="9"/>
      <c r="N34" s="49"/>
      <c r="O34" s="49"/>
    </row>
    <row r="35" ht="15.75" customHeight="1">
      <c r="A35" s="45" t="str">
        <f>IFERROR(LOP_06!$A$42,"")</f>
        <v/>
      </c>
      <c r="B35" s="45" t="str">
        <f>IFERROR(LOP_06!$B$42,"")</f>
        <v/>
      </c>
      <c r="C35" s="46" t="str">
        <f>IFERROR(LOP_06!$AH$42,"")</f>
        <v/>
      </c>
      <c r="D35" s="46" t="str">
        <f>IFERROR(LOP_06!$AI$42,"")</f>
        <v/>
      </c>
      <c r="E35" s="41" t="str">
        <f t="shared" si="1"/>
        <v/>
      </c>
      <c r="F35" s="41" t="str">
        <f t="shared" si="2"/>
        <v/>
      </c>
      <c r="G35" s="41" t="str">
        <f>IF(A35="","",SUMIFS(CHUYEN_THANG!$D$4:$D$403,CHUYEN_THANG!$A$4:$A$403,$B$4,CHUYEN_THANG!$B$4:$B$403,A35))</f>
        <v/>
      </c>
      <c r="H35" s="41" t="str">
        <f t="shared" si="3"/>
        <v/>
      </c>
      <c r="I35" s="11"/>
      <c r="J35" s="41" t="str">
        <f t="shared" si="4"/>
        <v/>
      </c>
      <c r="K35" s="41" t="str">
        <f t="shared" si="5"/>
        <v/>
      </c>
      <c r="L35" s="48"/>
      <c r="M35" s="9"/>
      <c r="N35" s="49"/>
      <c r="O35" s="49"/>
    </row>
    <row r="36" ht="15.75" customHeight="1">
      <c r="A36" s="45" t="str">
        <f>IFERROR(LOP_06!$A$43,"")</f>
        <v/>
      </c>
      <c r="B36" s="45" t="str">
        <f>IFERROR(LOP_06!$B$43,"")</f>
        <v/>
      </c>
      <c r="C36" s="46" t="str">
        <f>IFERROR(LOP_06!$AH$43,"")</f>
        <v/>
      </c>
      <c r="D36" s="46" t="str">
        <f>IFERROR(LOP_06!$AI$43,"")</f>
        <v/>
      </c>
      <c r="E36" s="41" t="str">
        <f t="shared" si="1"/>
        <v/>
      </c>
      <c r="F36" s="41" t="str">
        <f t="shared" si="2"/>
        <v/>
      </c>
      <c r="G36" s="41" t="str">
        <f>IF(A36="","",SUMIFS(CHUYEN_THANG!$D$4:$D$403,CHUYEN_THANG!$A$4:$A$403,$B$4,CHUYEN_THANG!$B$4:$B$403,A36))</f>
        <v/>
      </c>
      <c r="H36" s="41" t="str">
        <f t="shared" si="3"/>
        <v/>
      </c>
      <c r="I36" s="11"/>
      <c r="J36" s="41" t="str">
        <f t="shared" si="4"/>
        <v/>
      </c>
      <c r="K36" s="41" t="str">
        <f t="shared" si="5"/>
        <v/>
      </c>
      <c r="L36" s="48"/>
      <c r="M36" s="9"/>
      <c r="N36" s="49"/>
      <c r="O36" s="49"/>
    </row>
    <row r="37" ht="15.75" customHeight="1">
      <c r="A37" s="45" t="str">
        <f>IFERROR(LOP_06!$A$44,"")</f>
        <v/>
      </c>
      <c r="B37" s="45" t="str">
        <f>IFERROR(LOP_06!$B$44,"")</f>
        <v/>
      </c>
      <c r="C37" s="46" t="str">
        <f>IFERROR(LOP_06!$AH$44,"")</f>
        <v/>
      </c>
      <c r="D37" s="46" t="str">
        <f>IFERROR(LOP_06!$AI$44,"")</f>
        <v/>
      </c>
      <c r="E37" s="41" t="str">
        <f t="shared" si="1"/>
        <v/>
      </c>
      <c r="F37" s="41" t="str">
        <f t="shared" si="2"/>
        <v/>
      </c>
      <c r="G37" s="41" t="str">
        <f>IF(A37="","",SUMIFS(CHUYEN_THANG!$D$4:$D$403,CHUYEN_THANG!$A$4:$A$403,$B$4,CHUYEN_THANG!$B$4:$B$403,A37))</f>
        <v/>
      </c>
      <c r="H37" s="41" t="str">
        <f t="shared" si="3"/>
        <v/>
      </c>
      <c r="I37" s="11"/>
      <c r="J37" s="41" t="str">
        <f t="shared" si="4"/>
        <v/>
      </c>
      <c r="K37" s="41" t="str">
        <f t="shared" si="5"/>
        <v/>
      </c>
      <c r="L37" s="48"/>
      <c r="M37" s="9"/>
      <c r="N37" s="49"/>
      <c r="O37" s="49"/>
    </row>
    <row r="38" ht="15.75" customHeight="1">
      <c r="A38" s="45" t="str">
        <f>IFERROR(LOP_06!$A$45,"")</f>
        <v/>
      </c>
      <c r="B38" s="45" t="str">
        <f>IFERROR(LOP_06!$B$45,"")</f>
        <v/>
      </c>
      <c r="C38" s="46" t="str">
        <f>IFERROR(LOP_06!$AH$45,"")</f>
        <v/>
      </c>
      <c r="D38" s="46" t="str">
        <f>IFERROR(LOP_06!$AI$45,"")</f>
        <v/>
      </c>
      <c r="E38" s="41" t="str">
        <f t="shared" si="1"/>
        <v/>
      </c>
      <c r="F38" s="41" t="str">
        <f t="shared" si="2"/>
        <v/>
      </c>
      <c r="G38" s="41" t="str">
        <f>IF(A38="","",SUMIFS(CHUYEN_THANG!$D$4:$D$403,CHUYEN_THANG!$A$4:$A$403,$B$4,CHUYEN_THANG!$B$4:$B$403,A38))</f>
        <v/>
      </c>
      <c r="H38" s="41" t="str">
        <f t="shared" si="3"/>
        <v/>
      </c>
      <c r="I38" s="11"/>
      <c r="J38" s="41" t="str">
        <f t="shared" si="4"/>
        <v/>
      </c>
      <c r="K38" s="41" t="str">
        <f t="shared" si="5"/>
        <v/>
      </c>
      <c r="L38" s="48"/>
      <c r="M38" s="9"/>
      <c r="N38" s="49"/>
      <c r="O38" s="49"/>
    </row>
    <row r="39" ht="15.75" customHeight="1">
      <c r="A39" s="45" t="str">
        <f>IFERROR(LOP_06!$A$46,"")</f>
        <v/>
      </c>
      <c r="B39" s="45" t="str">
        <f>IFERROR(LOP_06!$B$46,"")</f>
        <v/>
      </c>
      <c r="C39" s="46" t="str">
        <f>IFERROR(LOP_06!$AH$46,"")</f>
        <v/>
      </c>
      <c r="D39" s="46" t="str">
        <f>IFERROR(LOP_06!$AI$46,"")</f>
        <v/>
      </c>
      <c r="E39" s="41" t="str">
        <f t="shared" si="1"/>
        <v/>
      </c>
      <c r="F39" s="41" t="str">
        <f t="shared" si="2"/>
        <v/>
      </c>
      <c r="G39" s="41" t="str">
        <f>IF(A39="","",SUMIFS(CHUYEN_THANG!$D$4:$D$403,CHUYEN_THANG!$A$4:$A$403,$B$4,CHUYEN_THANG!$B$4:$B$403,A39))</f>
        <v/>
      </c>
      <c r="H39" s="41" t="str">
        <f t="shared" si="3"/>
        <v/>
      </c>
      <c r="I39" s="11"/>
      <c r="J39" s="41" t="str">
        <f t="shared" si="4"/>
        <v/>
      </c>
      <c r="K39" s="41" t="str">
        <f t="shared" si="5"/>
        <v/>
      </c>
      <c r="L39" s="48"/>
      <c r="M39" s="9"/>
      <c r="N39" s="49"/>
      <c r="O39" s="49"/>
    </row>
    <row r="40" ht="15.75" customHeight="1">
      <c r="A40" s="45" t="str">
        <f>IFERROR(LOP_06!$A$47,"")</f>
        <v/>
      </c>
      <c r="B40" s="45" t="str">
        <f>IFERROR(LOP_06!$B$47,"")</f>
        <v/>
      </c>
      <c r="C40" s="46" t="str">
        <f>IFERROR(LOP_06!$AH$47,"")</f>
        <v/>
      </c>
      <c r="D40" s="46" t="str">
        <f>IFERROR(LOP_06!$AI$47,"")</f>
        <v/>
      </c>
      <c r="E40" s="41" t="str">
        <f t="shared" si="1"/>
        <v/>
      </c>
      <c r="F40" s="41" t="str">
        <f t="shared" si="2"/>
        <v/>
      </c>
      <c r="G40" s="41" t="str">
        <f>IF(A40="","",SUMIFS(CHUYEN_THANG!$D$4:$D$403,CHUYEN_THANG!$A$4:$A$403,$B$4,CHUYEN_THANG!$B$4:$B$403,A40))</f>
        <v/>
      </c>
      <c r="H40" s="41" t="str">
        <f t="shared" si="3"/>
        <v/>
      </c>
      <c r="I40" s="11"/>
      <c r="J40" s="41" t="str">
        <f t="shared" si="4"/>
        <v/>
      </c>
      <c r="K40" s="41" t="str">
        <f t="shared" si="5"/>
        <v/>
      </c>
      <c r="L40" s="48"/>
      <c r="M40" s="9"/>
      <c r="N40" s="49"/>
      <c r="O40" s="49"/>
    </row>
    <row r="41" ht="15.75" customHeight="1">
      <c r="A41" s="45" t="str">
        <f>IFERROR(LOP_06!$A$48,"")</f>
        <v/>
      </c>
      <c r="B41" s="45" t="str">
        <f>IFERROR(LOP_06!$B$48,"")</f>
        <v/>
      </c>
      <c r="C41" s="46" t="str">
        <f>IFERROR(LOP_06!$AH$48,"")</f>
        <v/>
      </c>
      <c r="D41" s="46" t="str">
        <f>IFERROR(LOP_06!$AI$48,"")</f>
        <v/>
      </c>
      <c r="E41" s="41" t="str">
        <f t="shared" si="1"/>
        <v/>
      </c>
      <c r="F41" s="41" t="str">
        <f t="shared" si="2"/>
        <v/>
      </c>
      <c r="G41" s="41" t="str">
        <f>IF(A41="","",SUMIFS(CHUYEN_THANG!$D$4:$D$403,CHUYEN_THANG!$A$4:$A$403,$B$4,CHUYEN_THANG!$B$4:$B$403,A41))</f>
        <v/>
      </c>
      <c r="H41" s="41" t="str">
        <f t="shared" si="3"/>
        <v/>
      </c>
      <c r="I41" s="11"/>
      <c r="J41" s="41" t="str">
        <f t="shared" si="4"/>
        <v/>
      </c>
      <c r="K41" s="41" t="str">
        <f t="shared" si="5"/>
        <v/>
      </c>
      <c r="L41" s="48"/>
      <c r="M41" s="9"/>
      <c r="N41" s="49"/>
      <c r="O41" s="49"/>
    </row>
    <row r="42" ht="15.75" customHeight="1">
      <c r="A42" s="45" t="str">
        <f>IFERROR(LOP_06!$A$49,"")</f>
        <v/>
      </c>
      <c r="B42" s="45" t="str">
        <f>IFERROR(LOP_06!$B$49,"")</f>
        <v/>
      </c>
      <c r="C42" s="46" t="str">
        <f>IFERROR(LOP_06!$AH$49,"")</f>
        <v/>
      </c>
      <c r="D42" s="46" t="str">
        <f>IFERROR(LOP_06!$AI$49,"")</f>
        <v/>
      </c>
      <c r="E42" s="41" t="str">
        <f t="shared" si="1"/>
        <v/>
      </c>
      <c r="F42" s="41" t="str">
        <f t="shared" si="2"/>
        <v/>
      </c>
      <c r="G42" s="41" t="str">
        <f>IF(A42="","",SUMIFS(CHUYEN_THANG!$D$4:$D$403,CHUYEN_THANG!$A$4:$A$403,$B$4,CHUYEN_THANG!$B$4:$B$403,A42))</f>
        <v/>
      </c>
      <c r="H42" s="41" t="str">
        <f t="shared" si="3"/>
        <v/>
      </c>
      <c r="I42" s="11"/>
      <c r="J42" s="41" t="str">
        <f t="shared" si="4"/>
        <v/>
      </c>
      <c r="K42" s="41" t="str">
        <f t="shared" si="5"/>
        <v/>
      </c>
      <c r="L42" s="48"/>
      <c r="M42" s="9"/>
      <c r="N42" s="49"/>
      <c r="O42" s="49"/>
    </row>
    <row r="43" ht="15.75" customHeight="1">
      <c r="A43" s="45" t="str">
        <f>IFERROR(LOP_06!$A$50,"")</f>
        <v/>
      </c>
      <c r="B43" s="45" t="str">
        <f>IFERROR(LOP_06!$B$50,"")</f>
        <v/>
      </c>
      <c r="C43" s="46" t="str">
        <f>IFERROR(LOP_06!$AH$50,"")</f>
        <v/>
      </c>
      <c r="D43" s="46" t="str">
        <f>IFERROR(LOP_06!$AI$50,"")</f>
        <v/>
      </c>
      <c r="E43" s="41" t="str">
        <f t="shared" si="1"/>
        <v/>
      </c>
      <c r="F43" s="41" t="str">
        <f t="shared" si="2"/>
        <v/>
      </c>
      <c r="G43" s="41" t="str">
        <f>IF(A43="","",SUMIFS(CHUYEN_THANG!$D$4:$D$403,CHUYEN_THANG!$A$4:$A$403,$B$4,CHUYEN_THANG!$B$4:$B$403,A43))</f>
        <v/>
      </c>
      <c r="H43" s="41" t="str">
        <f t="shared" si="3"/>
        <v/>
      </c>
      <c r="I43" s="11"/>
      <c r="J43" s="41" t="str">
        <f t="shared" si="4"/>
        <v/>
      </c>
      <c r="K43" s="41" t="str">
        <f t="shared" si="5"/>
        <v/>
      </c>
      <c r="L43" s="48"/>
      <c r="M43" s="9"/>
      <c r="N43" s="49"/>
      <c r="O43" s="49"/>
    </row>
    <row r="44" ht="15.75" customHeight="1">
      <c r="A44" s="50"/>
      <c r="B44" s="50"/>
      <c r="C44" s="51"/>
      <c r="D44" s="51"/>
      <c r="E44" s="43"/>
      <c r="F44" s="43"/>
      <c r="G44" s="43"/>
      <c r="H44" s="43"/>
      <c r="I44" s="49"/>
      <c r="J44" s="43"/>
      <c r="K44" s="43"/>
      <c r="L44" s="52"/>
      <c r="M44" s="53"/>
      <c r="N44" s="49"/>
      <c r="O44" s="49"/>
    </row>
    <row r="45" ht="15.75" customHeight="1">
      <c r="A45" s="50"/>
      <c r="B45" s="50"/>
      <c r="C45" s="51"/>
      <c r="D45" s="51"/>
      <c r="E45" s="43"/>
      <c r="F45" s="43"/>
      <c r="G45" s="43"/>
      <c r="H45" s="43"/>
      <c r="I45" s="49"/>
      <c r="J45" s="43"/>
      <c r="K45" s="43"/>
      <c r="L45" s="52"/>
      <c r="M45" s="53"/>
      <c r="N45" s="49"/>
      <c r="O45" s="49"/>
    </row>
    <row r="46" ht="15.75" customHeight="1">
      <c r="A46" s="50"/>
      <c r="B46" s="50"/>
      <c r="C46" s="51"/>
      <c r="D46" s="51"/>
      <c r="E46" s="43"/>
      <c r="F46" s="43"/>
      <c r="G46" s="43"/>
      <c r="H46" s="43"/>
      <c r="I46" s="49"/>
      <c r="J46" s="43"/>
      <c r="K46" s="43"/>
      <c r="L46" s="52"/>
      <c r="M46" s="53"/>
      <c r="N46" s="49"/>
      <c r="O46" s="49"/>
    </row>
    <row r="47" ht="15.75" customHeight="1">
      <c r="A47" s="50"/>
      <c r="B47" s="50"/>
      <c r="C47" s="51"/>
      <c r="D47" s="51"/>
      <c r="E47" s="43"/>
      <c r="F47" s="43"/>
      <c r="G47" s="43"/>
      <c r="H47" s="43"/>
      <c r="I47" s="49"/>
      <c r="J47" s="43"/>
      <c r="K47" s="43"/>
      <c r="L47" s="52"/>
      <c r="M47" s="53"/>
      <c r="N47" s="49"/>
      <c r="O47" s="49"/>
    </row>
    <row r="48" ht="15.75" customHeight="1">
      <c r="A48" s="50"/>
      <c r="B48" s="50"/>
      <c r="C48" s="51"/>
      <c r="D48" s="51"/>
      <c r="E48" s="43"/>
      <c r="F48" s="43"/>
      <c r="G48" s="43"/>
      <c r="H48" s="43"/>
      <c r="I48" s="49"/>
      <c r="J48" s="43"/>
      <c r="K48" s="43"/>
      <c r="L48" s="52"/>
      <c r="M48" s="53"/>
      <c r="N48" s="49"/>
      <c r="O48" s="49"/>
    </row>
    <row r="49" ht="15.75" customHeight="1">
      <c r="A49" s="50"/>
      <c r="B49" s="50"/>
      <c r="C49" s="51"/>
      <c r="D49" s="51"/>
      <c r="E49" s="43"/>
      <c r="F49" s="43"/>
      <c r="G49" s="43"/>
      <c r="H49" s="43"/>
      <c r="I49" s="49"/>
      <c r="J49" s="43"/>
      <c r="K49" s="43"/>
      <c r="L49" s="52"/>
      <c r="M49" s="53"/>
      <c r="N49" s="49"/>
      <c r="O49" s="49"/>
    </row>
    <row r="50" ht="15.75" customHeight="1">
      <c r="A50" s="50"/>
      <c r="B50" s="50"/>
      <c r="C50" s="51"/>
      <c r="D50" s="51"/>
      <c r="E50" s="43"/>
      <c r="F50" s="43"/>
      <c r="G50" s="43"/>
      <c r="H50" s="43"/>
      <c r="I50" s="49"/>
      <c r="J50" s="43"/>
      <c r="K50" s="43"/>
      <c r="L50" s="52"/>
      <c r="M50" s="53"/>
      <c r="N50" s="49"/>
      <c r="O50" s="49"/>
    </row>
    <row r="51" ht="15.75" customHeight="1">
      <c r="A51" s="50"/>
      <c r="B51" s="50"/>
      <c r="C51" s="51"/>
      <c r="D51" s="51"/>
      <c r="E51" s="43"/>
      <c r="F51" s="43"/>
      <c r="G51" s="43"/>
      <c r="H51" s="43"/>
      <c r="I51" s="49"/>
      <c r="J51" s="43"/>
      <c r="K51" s="43"/>
      <c r="L51" s="52"/>
      <c r="M51" s="53"/>
      <c r="N51" s="49"/>
      <c r="O51" s="49"/>
    </row>
    <row r="52" ht="15.75" customHeight="1">
      <c r="A52" s="50"/>
      <c r="B52" s="50"/>
      <c r="C52" s="51"/>
      <c r="D52" s="51"/>
      <c r="E52" s="43"/>
      <c r="F52" s="43"/>
      <c r="G52" s="43"/>
      <c r="H52" s="43"/>
      <c r="I52" s="49"/>
      <c r="J52" s="43"/>
      <c r="K52" s="43"/>
      <c r="L52" s="52"/>
      <c r="M52" s="53"/>
      <c r="N52" s="49"/>
      <c r="O52" s="49"/>
    </row>
    <row r="53" ht="15.75" customHeight="1">
      <c r="A53" s="50"/>
      <c r="B53" s="50"/>
      <c r="C53" s="51"/>
      <c r="D53" s="51"/>
      <c r="E53" s="43"/>
      <c r="F53" s="43"/>
      <c r="G53" s="43"/>
      <c r="H53" s="43"/>
      <c r="I53" s="49"/>
      <c r="J53" s="43"/>
      <c r="K53" s="43"/>
      <c r="L53" s="52"/>
      <c r="M53" s="53"/>
      <c r="N53" s="49"/>
      <c r="O53" s="49"/>
    </row>
    <row r="54" ht="15.75" customHeight="1">
      <c r="A54" s="50"/>
      <c r="B54" s="50"/>
      <c r="C54" s="51"/>
      <c r="D54" s="51"/>
      <c r="E54" s="43"/>
      <c r="F54" s="43"/>
      <c r="G54" s="43"/>
      <c r="H54" s="43"/>
      <c r="I54" s="49"/>
      <c r="J54" s="43"/>
      <c r="K54" s="43"/>
      <c r="L54" s="52"/>
      <c r="M54" s="53"/>
      <c r="N54" s="49"/>
      <c r="O54" s="49"/>
    </row>
    <row r="55" ht="15.75" customHeight="1">
      <c r="A55" s="50"/>
      <c r="B55" s="50"/>
      <c r="C55" s="51"/>
      <c r="D55" s="51"/>
      <c r="E55" s="43"/>
      <c r="F55" s="43"/>
      <c r="G55" s="43"/>
      <c r="H55" s="43"/>
      <c r="I55" s="49"/>
      <c r="J55" s="43"/>
      <c r="K55" s="43"/>
      <c r="L55" s="52"/>
      <c r="M55" s="53"/>
      <c r="N55" s="49"/>
      <c r="O55" s="49"/>
    </row>
    <row r="56" ht="15.75" customHeight="1">
      <c r="A56" s="50"/>
      <c r="B56" s="50"/>
      <c r="C56" s="51"/>
      <c r="D56" s="51"/>
      <c r="E56" s="43"/>
      <c r="F56" s="43"/>
      <c r="G56" s="43"/>
      <c r="H56" s="43"/>
      <c r="I56" s="49"/>
      <c r="J56" s="43"/>
      <c r="K56" s="43"/>
      <c r="L56" s="52"/>
      <c r="M56" s="53"/>
      <c r="N56" s="49"/>
      <c r="O56" s="49"/>
    </row>
    <row r="57" ht="15.75" customHeight="1">
      <c r="A57" s="50"/>
      <c r="B57" s="50"/>
      <c r="C57" s="51"/>
      <c r="D57" s="51"/>
      <c r="E57" s="43"/>
      <c r="F57" s="43"/>
      <c r="G57" s="43"/>
      <c r="H57" s="43"/>
      <c r="I57" s="49"/>
      <c r="J57" s="43"/>
      <c r="K57" s="43"/>
      <c r="L57" s="52"/>
      <c r="M57" s="53"/>
      <c r="N57" s="49"/>
      <c r="O57" s="49"/>
    </row>
    <row r="58" ht="15.75" customHeight="1">
      <c r="A58" s="50"/>
      <c r="B58" s="50"/>
      <c r="C58" s="51"/>
      <c r="D58" s="51"/>
      <c r="E58" s="43"/>
      <c r="F58" s="43"/>
      <c r="G58" s="43"/>
      <c r="H58" s="43"/>
      <c r="I58" s="49"/>
      <c r="J58" s="43"/>
      <c r="K58" s="43"/>
      <c r="L58" s="52"/>
      <c r="M58" s="53"/>
      <c r="N58" s="49"/>
      <c r="O58" s="49"/>
    </row>
    <row r="59" ht="15.75" customHeight="1">
      <c r="A59" s="50"/>
      <c r="B59" s="50"/>
      <c r="C59" s="51"/>
      <c r="D59" s="51"/>
      <c r="E59" s="43"/>
      <c r="F59" s="43"/>
      <c r="G59" s="43"/>
      <c r="H59" s="43"/>
      <c r="I59" s="49"/>
      <c r="J59" s="43"/>
      <c r="K59" s="43"/>
      <c r="L59" s="52"/>
      <c r="M59" s="53"/>
      <c r="N59" s="49"/>
      <c r="O59" s="49"/>
    </row>
    <row r="60" ht="15.75" customHeight="1">
      <c r="A60" s="50"/>
      <c r="B60" s="50"/>
      <c r="C60" s="51"/>
      <c r="D60" s="51"/>
      <c r="E60" s="43"/>
      <c r="F60" s="43"/>
      <c r="G60" s="43"/>
      <c r="H60" s="43"/>
      <c r="I60" s="49"/>
      <c r="J60" s="43"/>
      <c r="K60" s="43"/>
      <c r="L60" s="52"/>
      <c r="M60" s="53"/>
      <c r="N60" s="49"/>
      <c r="O60" s="49"/>
    </row>
    <row r="61" ht="15.75" customHeight="1">
      <c r="A61" s="50"/>
      <c r="B61" s="50"/>
      <c r="C61" s="51"/>
      <c r="D61" s="51"/>
      <c r="E61" s="43"/>
      <c r="F61" s="43"/>
      <c r="G61" s="43"/>
      <c r="H61" s="43"/>
      <c r="I61" s="49"/>
      <c r="J61" s="43"/>
      <c r="K61" s="43"/>
      <c r="L61" s="52"/>
      <c r="M61" s="53"/>
      <c r="N61" s="49"/>
      <c r="O61" s="49"/>
    </row>
    <row r="62" ht="15.75" customHeight="1">
      <c r="A62" s="50"/>
      <c r="B62" s="50"/>
      <c r="C62" s="51"/>
      <c r="D62" s="51"/>
      <c r="E62" s="43"/>
      <c r="F62" s="43"/>
      <c r="G62" s="43"/>
      <c r="H62" s="43"/>
      <c r="I62" s="49"/>
      <c r="J62" s="43"/>
      <c r="K62" s="43"/>
      <c r="L62" s="52"/>
      <c r="M62" s="53"/>
      <c r="N62" s="49"/>
      <c r="O62" s="49"/>
    </row>
    <row r="63" ht="15.75" customHeight="1">
      <c r="A63" s="50"/>
      <c r="B63" s="50"/>
      <c r="C63" s="51"/>
      <c r="D63" s="51"/>
      <c r="E63" s="43"/>
      <c r="F63" s="43"/>
      <c r="G63" s="43"/>
      <c r="H63" s="43"/>
      <c r="I63" s="49"/>
      <c r="J63" s="43"/>
      <c r="K63" s="43"/>
      <c r="L63" s="52"/>
      <c r="M63" s="53"/>
      <c r="N63" s="49"/>
      <c r="O63" s="49"/>
    </row>
    <row r="64" ht="15.75" customHeight="1">
      <c r="A64" s="50"/>
      <c r="B64" s="50"/>
      <c r="C64" s="51"/>
      <c r="D64" s="51"/>
      <c r="E64" s="43"/>
      <c r="F64" s="43"/>
      <c r="G64" s="43"/>
      <c r="H64" s="43"/>
      <c r="I64" s="49"/>
      <c r="J64" s="43"/>
      <c r="K64" s="43"/>
      <c r="L64" s="52"/>
      <c r="M64" s="53"/>
      <c r="N64" s="49"/>
      <c r="O64" s="49"/>
    </row>
    <row r="65" ht="15.75" customHeight="1">
      <c r="A65" s="50"/>
      <c r="B65" s="50"/>
      <c r="C65" s="51"/>
      <c r="D65" s="51"/>
      <c r="E65" s="43"/>
      <c r="F65" s="43"/>
      <c r="G65" s="43"/>
      <c r="H65" s="43"/>
      <c r="I65" s="49"/>
      <c r="J65" s="43"/>
      <c r="K65" s="43"/>
      <c r="L65" s="52"/>
      <c r="M65" s="53"/>
      <c r="N65" s="49"/>
      <c r="O65" s="49"/>
    </row>
    <row r="66" ht="15.75" customHeight="1">
      <c r="A66" s="50"/>
      <c r="B66" s="50"/>
      <c r="C66" s="51"/>
      <c r="D66" s="51"/>
      <c r="E66" s="43"/>
      <c r="F66" s="43"/>
      <c r="G66" s="43"/>
      <c r="H66" s="43"/>
      <c r="I66" s="49"/>
      <c r="J66" s="43"/>
      <c r="K66" s="43"/>
      <c r="L66" s="52"/>
      <c r="M66" s="53"/>
      <c r="N66" s="49"/>
      <c r="O66" s="49"/>
    </row>
    <row r="67" ht="15.75" customHeight="1">
      <c r="A67" s="50"/>
      <c r="B67" s="50"/>
      <c r="C67" s="51"/>
      <c r="D67" s="51"/>
      <c r="E67" s="43"/>
      <c r="F67" s="43"/>
      <c r="G67" s="43"/>
      <c r="H67" s="43"/>
      <c r="I67" s="49"/>
      <c r="J67" s="43"/>
      <c r="K67" s="43"/>
      <c r="L67" s="52"/>
      <c r="M67" s="53"/>
      <c r="N67" s="49"/>
      <c r="O67" s="49"/>
    </row>
    <row r="68" ht="15.75" customHeight="1">
      <c r="A68" s="50"/>
      <c r="B68" s="50"/>
      <c r="C68" s="51"/>
      <c r="D68" s="51"/>
      <c r="E68" s="43"/>
      <c r="F68" s="43"/>
      <c r="G68" s="43"/>
      <c r="H68" s="43"/>
      <c r="I68" s="49"/>
      <c r="J68" s="43"/>
      <c r="K68" s="43"/>
      <c r="L68" s="52"/>
      <c r="M68" s="53"/>
      <c r="N68" s="49"/>
      <c r="O68" s="49"/>
    </row>
    <row r="69" ht="15.75" customHeight="1">
      <c r="A69" s="50"/>
      <c r="B69" s="50"/>
      <c r="C69" s="51"/>
      <c r="D69" s="51"/>
      <c r="E69" s="43"/>
      <c r="F69" s="43"/>
      <c r="G69" s="43"/>
      <c r="H69" s="43"/>
      <c r="I69" s="49"/>
      <c r="J69" s="43"/>
      <c r="K69" s="43"/>
      <c r="L69" s="52"/>
      <c r="M69" s="53"/>
      <c r="N69" s="49"/>
      <c r="O69" s="49"/>
    </row>
    <row r="70" ht="15.75" customHeight="1">
      <c r="A70" s="50"/>
      <c r="B70" s="50"/>
      <c r="C70" s="51"/>
      <c r="D70" s="51"/>
      <c r="E70" s="43"/>
      <c r="F70" s="43"/>
      <c r="G70" s="43"/>
      <c r="H70" s="43"/>
      <c r="I70" s="49"/>
      <c r="J70" s="43"/>
      <c r="K70" s="43"/>
      <c r="L70" s="52"/>
      <c r="M70" s="53"/>
      <c r="N70" s="49"/>
      <c r="O70" s="49"/>
    </row>
    <row r="71" ht="15.75" customHeight="1">
      <c r="A71" s="50"/>
      <c r="B71" s="50"/>
      <c r="C71" s="51"/>
      <c r="D71" s="51"/>
      <c r="E71" s="43"/>
      <c r="F71" s="43"/>
      <c r="G71" s="43"/>
      <c r="H71" s="43"/>
      <c r="I71" s="49"/>
      <c r="J71" s="43"/>
      <c r="K71" s="43"/>
      <c r="L71" s="52"/>
      <c r="M71" s="53"/>
      <c r="N71" s="49"/>
      <c r="O71" s="49"/>
    </row>
    <row r="72" ht="15.75" customHeight="1">
      <c r="A72" s="50"/>
      <c r="B72" s="50"/>
      <c r="C72" s="51"/>
      <c r="D72" s="51"/>
      <c r="E72" s="43"/>
      <c r="F72" s="43"/>
      <c r="G72" s="43"/>
      <c r="H72" s="43"/>
      <c r="I72" s="49"/>
      <c r="J72" s="43"/>
      <c r="K72" s="43"/>
      <c r="L72" s="52"/>
      <c r="M72" s="53"/>
      <c r="N72" s="49"/>
      <c r="O72" s="49"/>
    </row>
    <row r="73" ht="15.75" customHeight="1">
      <c r="A73" s="50"/>
      <c r="B73" s="50"/>
      <c r="C73" s="51"/>
      <c r="D73" s="51"/>
      <c r="E73" s="43"/>
      <c r="F73" s="43"/>
      <c r="G73" s="43"/>
      <c r="H73" s="43"/>
      <c r="I73" s="49"/>
      <c r="J73" s="43"/>
      <c r="K73" s="43"/>
      <c r="L73" s="52"/>
      <c r="M73" s="53"/>
      <c r="N73" s="49"/>
      <c r="O73" s="49"/>
    </row>
    <row r="74" ht="15.75" customHeight="1">
      <c r="A74" s="50"/>
      <c r="B74" s="50"/>
      <c r="C74" s="51"/>
      <c r="D74" s="51"/>
      <c r="E74" s="43"/>
      <c r="F74" s="43"/>
      <c r="G74" s="43"/>
      <c r="H74" s="43"/>
      <c r="I74" s="49"/>
      <c r="J74" s="43"/>
      <c r="K74" s="43"/>
      <c r="L74" s="52"/>
      <c r="M74" s="53"/>
      <c r="N74" s="49"/>
      <c r="O74" s="49"/>
    </row>
    <row r="75" ht="15.75" customHeight="1">
      <c r="A75" s="50"/>
      <c r="B75" s="50"/>
      <c r="C75" s="51"/>
      <c r="D75" s="51"/>
      <c r="E75" s="43"/>
      <c r="F75" s="43"/>
      <c r="G75" s="43"/>
      <c r="H75" s="43"/>
      <c r="I75" s="49"/>
      <c r="J75" s="43"/>
      <c r="K75" s="43"/>
      <c r="L75" s="52"/>
      <c r="M75" s="53"/>
      <c r="N75" s="49"/>
      <c r="O75" s="49"/>
    </row>
    <row r="76" ht="15.75" customHeight="1">
      <c r="A76" s="50"/>
      <c r="B76" s="50"/>
      <c r="C76" s="51"/>
      <c r="D76" s="51"/>
      <c r="E76" s="43"/>
      <c r="F76" s="43"/>
      <c r="G76" s="43"/>
      <c r="H76" s="43"/>
      <c r="I76" s="49"/>
      <c r="J76" s="43"/>
      <c r="K76" s="43"/>
      <c r="L76" s="52"/>
      <c r="M76" s="53"/>
      <c r="N76" s="49"/>
      <c r="O76" s="49"/>
    </row>
    <row r="77" ht="15.75" customHeight="1">
      <c r="A77" s="50"/>
      <c r="B77" s="50"/>
      <c r="C77" s="51"/>
      <c r="D77" s="51"/>
      <c r="E77" s="43"/>
      <c r="F77" s="43"/>
      <c r="G77" s="43"/>
      <c r="H77" s="43"/>
      <c r="I77" s="49"/>
      <c r="J77" s="43"/>
      <c r="K77" s="43"/>
      <c r="L77" s="52"/>
      <c r="M77" s="53"/>
      <c r="N77" s="49"/>
      <c r="O77" s="49"/>
    </row>
    <row r="78" ht="15.75" customHeight="1">
      <c r="A78" s="50"/>
      <c r="B78" s="50"/>
      <c r="C78" s="51"/>
      <c r="D78" s="51"/>
      <c r="E78" s="43"/>
      <c r="F78" s="43"/>
      <c r="G78" s="43"/>
      <c r="H78" s="43"/>
      <c r="I78" s="49"/>
      <c r="J78" s="43"/>
      <c r="K78" s="43"/>
      <c r="L78" s="52"/>
      <c r="M78" s="53"/>
      <c r="N78" s="49"/>
      <c r="O78" s="49"/>
    </row>
    <row r="79" ht="15.75" customHeight="1">
      <c r="A79" s="50"/>
      <c r="B79" s="50"/>
      <c r="C79" s="51"/>
      <c r="D79" s="51"/>
      <c r="E79" s="43"/>
      <c r="F79" s="43"/>
      <c r="G79" s="43"/>
      <c r="H79" s="43"/>
      <c r="I79" s="49"/>
      <c r="J79" s="43"/>
      <c r="K79" s="43"/>
      <c r="L79" s="52"/>
      <c r="M79" s="53"/>
      <c r="N79" s="49"/>
      <c r="O79" s="49"/>
    </row>
    <row r="80" ht="15.75" customHeight="1">
      <c r="A80" s="50"/>
      <c r="B80" s="50"/>
      <c r="C80" s="51"/>
      <c r="D80" s="51"/>
      <c r="E80" s="43"/>
      <c r="F80" s="43"/>
      <c r="G80" s="43"/>
      <c r="H80" s="43"/>
      <c r="I80" s="49"/>
      <c r="J80" s="43"/>
      <c r="K80" s="43"/>
      <c r="L80" s="52"/>
      <c r="M80" s="53"/>
      <c r="N80" s="49"/>
      <c r="O80" s="49"/>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M1"/>
  </mergeCells>
  <conditionalFormatting sqref="J14:J43">
    <cfRule type="cellIs" dxfId="3" priority="1" operator="greaterThan">
      <formula>0</formula>
    </cfRule>
  </conditionalFormatting>
  <conditionalFormatting sqref="J14:J80">
    <cfRule type="expression" dxfId="1" priority="2">
      <formula>J14&gt;0</formula>
    </cfRule>
  </conditionalFormatting>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25.0"/>
    <col customWidth="1" min="3" max="4" width="9.0"/>
    <col customWidth="1" min="5" max="7" width="16.0"/>
    <col customWidth="1" min="8" max="10" width="13.0"/>
    <col customWidth="1" min="11" max="11" width="16.0"/>
    <col customWidth="1" min="12" max="12" width="13.0"/>
    <col customWidth="1" min="13" max="13" width="32.0"/>
    <col customWidth="1" min="14" max="15" width="16.0"/>
  </cols>
  <sheetData>
    <row r="1" ht="30.0" customHeight="1">
      <c r="A1" s="1" t="s">
        <v>126</v>
      </c>
      <c r="N1" s="2"/>
      <c r="O1" s="2"/>
    </row>
    <row r="2">
      <c r="A2" s="3"/>
      <c r="B2" s="3"/>
      <c r="C2" s="3"/>
      <c r="D2" s="3"/>
      <c r="E2" s="3"/>
      <c r="F2" s="3"/>
      <c r="G2" s="3"/>
      <c r="H2" s="3"/>
      <c r="I2" s="3"/>
      <c r="J2" s="3"/>
      <c r="K2" s="3"/>
      <c r="L2" s="3"/>
      <c r="M2" s="3"/>
      <c r="N2" s="3"/>
      <c r="O2" s="3"/>
    </row>
    <row r="3">
      <c r="A3" s="4" t="s">
        <v>95</v>
      </c>
      <c r="B3" s="4" t="s">
        <v>6</v>
      </c>
      <c r="C3" s="3"/>
      <c r="D3" s="4" t="s">
        <v>96</v>
      </c>
      <c r="E3" s="4" t="s">
        <v>6</v>
      </c>
      <c r="F3" s="3"/>
      <c r="G3" s="3"/>
      <c r="H3" s="3"/>
      <c r="I3" s="3"/>
      <c r="J3" s="3"/>
      <c r="K3" s="3"/>
      <c r="L3" s="3"/>
      <c r="M3" s="3"/>
      <c r="N3" s="3"/>
      <c r="O3" s="3"/>
    </row>
    <row r="4">
      <c r="A4" s="38" t="s">
        <v>10</v>
      </c>
      <c r="B4" s="39" t="str">
        <f>IF(DANH_MUC_LOP!B10="","",DANH_MUC_LOP!B10)</f>
        <v/>
      </c>
      <c r="C4" s="3"/>
      <c r="D4" s="40" t="s">
        <v>97</v>
      </c>
      <c r="E4" s="41">
        <f>SUM(J14:J43)</f>
        <v>0</v>
      </c>
      <c r="F4" s="3"/>
      <c r="G4" s="3"/>
      <c r="H4" s="3"/>
      <c r="I4" s="3"/>
      <c r="J4" s="3"/>
      <c r="K4" s="3"/>
      <c r="L4" s="3"/>
      <c r="M4" s="3"/>
      <c r="N4" s="3"/>
      <c r="O4" s="3"/>
    </row>
    <row r="5">
      <c r="A5" s="38" t="s">
        <v>19</v>
      </c>
      <c r="B5" s="39" t="str">
        <f>IF(DANH_MUC_LOP!C10="","",DANH_MUC_LOP!C10)</f>
        <v/>
      </c>
      <c r="C5" s="3"/>
      <c r="D5" s="40" t="s">
        <v>65</v>
      </c>
      <c r="E5" s="41">
        <f>SUM(K14:K43)</f>
        <v>0</v>
      </c>
      <c r="F5" s="3"/>
      <c r="G5" s="3"/>
      <c r="H5" s="3"/>
      <c r="I5" s="3"/>
      <c r="J5" s="3"/>
      <c r="K5" s="3"/>
      <c r="L5" s="3"/>
      <c r="M5" s="3"/>
      <c r="N5" s="3"/>
      <c r="O5" s="3"/>
    </row>
    <row r="6">
      <c r="A6" s="38" t="s">
        <v>98</v>
      </c>
      <c r="B6" s="39" t="str">
        <f>IFERROR(IF(DANH_MUC_LOP!R10&gt;0,DANH_MUC_LOP!R10,LOP_07!$B$16),0)</f>
        <v/>
      </c>
      <c r="C6" s="3"/>
      <c r="D6" s="40" t="s">
        <v>99</v>
      </c>
      <c r="E6" s="41">
        <f>IF(B4="",0,SUMIF(THUONG_HOC_SINH!$A$4:$A$83,B4,THUONG_HOC_SINH!$D$4:$D$83))</f>
        <v>0</v>
      </c>
      <c r="F6" s="3"/>
      <c r="G6" s="3"/>
      <c r="H6" s="3"/>
      <c r="I6" s="3"/>
      <c r="J6" s="3"/>
      <c r="K6" s="3"/>
      <c r="L6" s="3"/>
      <c r="M6" s="3"/>
      <c r="N6" s="3"/>
      <c r="O6" s="3"/>
    </row>
    <row r="7">
      <c r="A7" s="38" t="s">
        <v>23</v>
      </c>
      <c r="B7" s="41" t="str">
        <f>IF(DANH_MUC_LOP!B10="","",DANH_MUC_LOP!F10)</f>
        <v/>
      </c>
      <c r="C7" s="3"/>
      <c r="D7" s="42"/>
      <c r="E7" s="43"/>
      <c r="F7" s="3"/>
      <c r="G7" s="3"/>
      <c r="H7" s="3"/>
      <c r="I7" s="3"/>
      <c r="J7" s="3"/>
      <c r="K7" s="3"/>
      <c r="L7" s="3"/>
      <c r="M7" s="3"/>
      <c r="N7" s="3"/>
      <c r="O7" s="3"/>
    </row>
    <row r="8">
      <c r="A8" s="38" t="s">
        <v>31</v>
      </c>
      <c r="B8" s="39" t="str">
        <f>IF(DANH_MUC_LOP!B10="","",DANH_MUC_LOP!N10)</f>
        <v/>
      </c>
      <c r="C8" s="3"/>
      <c r="D8" s="42"/>
      <c r="E8" s="43"/>
      <c r="F8" s="3"/>
      <c r="G8" s="3"/>
      <c r="H8" s="3"/>
      <c r="I8" s="3"/>
      <c r="J8" s="3"/>
      <c r="K8" s="3"/>
      <c r="L8" s="3"/>
      <c r="M8" s="3"/>
      <c r="N8" s="3"/>
      <c r="O8" s="3"/>
    </row>
    <row r="9">
      <c r="A9" s="38" t="s">
        <v>100</v>
      </c>
      <c r="B9" s="39">
        <f>COUNTIF(A14:A43,"?*")</f>
        <v>0</v>
      </c>
      <c r="C9" s="3"/>
      <c r="D9" s="42"/>
      <c r="E9" s="43"/>
      <c r="F9" s="3"/>
      <c r="G9" s="3"/>
      <c r="H9" s="3"/>
      <c r="I9" s="3"/>
      <c r="J9" s="3"/>
      <c r="K9" s="3"/>
      <c r="L9" s="3"/>
      <c r="M9" s="3"/>
      <c r="N9" s="3"/>
      <c r="O9" s="3"/>
    </row>
    <row r="10">
      <c r="A10" s="38" t="s">
        <v>101</v>
      </c>
      <c r="B10" s="41">
        <f>SUM(H14:H43)</f>
        <v>0</v>
      </c>
      <c r="C10" s="3"/>
      <c r="D10" s="42"/>
      <c r="E10" s="43"/>
      <c r="F10" s="3"/>
      <c r="G10" s="3"/>
      <c r="H10" s="3"/>
      <c r="I10" s="3"/>
      <c r="J10" s="3"/>
      <c r="K10" s="3"/>
      <c r="L10" s="3"/>
      <c r="M10" s="3"/>
      <c r="N10" s="3"/>
      <c r="O10" s="3"/>
    </row>
    <row r="11">
      <c r="A11" s="38" t="s">
        <v>102</v>
      </c>
      <c r="B11" s="41">
        <f>SUM(I14:I43)</f>
        <v>0</v>
      </c>
      <c r="C11" s="3"/>
      <c r="D11" s="42"/>
      <c r="E11" s="43"/>
      <c r="F11" s="3"/>
      <c r="G11" s="3"/>
      <c r="H11" s="3"/>
      <c r="I11" s="3"/>
      <c r="J11" s="3"/>
      <c r="K11" s="3"/>
      <c r="L11" s="3"/>
      <c r="M11" s="3"/>
      <c r="N11" s="3"/>
      <c r="O11" s="3"/>
    </row>
    <row r="12">
      <c r="A12" s="3"/>
      <c r="B12" s="3"/>
      <c r="C12" s="3"/>
      <c r="D12" s="3"/>
      <c r="E12" s="3"/>
      <c r="F12" s="3"/>
      <c r="G12" s="3"/>
      <c r="H12" s="3"/>
      <c r="I12" s="3"/>
      <c r="J12" s="3"/>
      <c r="K12" s="3"/>
      <c r="L12" s="3"/>
      <c r="M12" s="3"/>
      <c r="N12" s="3"/>
      <c r="O12" s="3"/>
    </row>
    <row r="13" ht="27.75" customHeight="1">
      <c r="A13" s="5" t="s">
        <v>14</v>
      </c>
      <c r="B13" s="5" t="s">
        <v>16</v>
      </c>
      <c r="C13" s="5" t="s">
        <v>104</v>
      </c>
      <c r="D13" s="5" t="s">
        <v>105</v>
      </c>
      <c r="E13" s="5" t="s">
        <v>106</v>
      </c>
      <c r="F13" s="5" t="s">
        <v>107</v>
      </c>
      <c r="G13" s="5" t="s">
        <v>64</v>
      </c>
      <c r="H13" s="5" t="s">
        <v>108</v>
      </c>
      <c r="I13" s="5" t="s">
        <v>102</v>
      </c>
      <c r="J13" s="5" t="s">
        <v>97</v>
      </c>
      <c r="K13" s="5" t="s">
        <v>65</v>
      </c>
      <c r="L13" s="5" t="s">
        <v>109</v>
      </c>
      <c r="M13" s="5" t="s">
        <v>15</v>
      </c>
      <c r="N13" s="5" t="s">
        <v>110</v>
      </c>
      <c r="O13" s="5" t="s">
        <v>111</v>
      </c>
    </row>
    <row r="14">
      <c r="A14" s="45" t="str">
        <f>IFERROR(LOP_07!$A$21,"")</f>
        <v/>
      </c>
      <c r="B14" s="45" t="str">
        <f>IFERROR(LOP_07!$B$21,"")</f>
        <v/>
      </c>
      <c r="C14" s="46" t="str">
        <f>IFERROR(LOP_07!$AH$21,"")</f>
        <v/>
      </c>
      <c r="D14" s="46" t="str">
        <f>IFERROR(LOP_07!$AI$21,"")</f>
        <v/>
      </c>
      <c r="E14" s="41" t="str">
        <f t="shared" ref="E14:E43" si="1">IF(A14="","",$B$7)</f>
        <v/>
      </c>
      <c r="F14" s="41" t="str">
        <f t="shared" ref="F14:F43" si="2">IF(A14="","",IF($B$8="Thu trước",$B$6*E14,C14*E14))</f>
        <v/>
      </c>
      <c r="G14" s="41" t="str">
        <f>IF(A14="","",SUMIFS(CHUYEN_THANG!$D$4:$D$403,CHUYEN_THANG!$A$4:$A$403,$B$4,CHUYEN_THANG!$B$4:$B$403,A14))</f>
        <v/>
      </c>
      <c r="H14" s="41" t="str">
        <f t="shared" ref="H14:H43" si="3">IF(A14="","",IF(O14&lt;&gt;"",MAX(0,O14),MAX(0,F14-G14+N14)))</f>
        <v/>
      </c>
      <c r="I14" s="11"/>
      <c r="J14" s="41" t="str">
        <f t="shared" ref="J14:J43" si="4">IF(A14="","",MAX(0,H14-I14))</f>
        <v/>
      </c>
      <c r="K14" s="41" t="str">
        <f t="shared" ref="K14:K43" si="5">IF(A14="","",IF($B$8="Thu trước",D14*E14,0))</f>
        <v/>
      </c>
      <c r="L14" s="48"/>
      <c r="M14" s="9"/>
      <c r="N14" s="49"/>
      <c r="O14" s="49"/>
    </row>
    <row r="15">
      <c r="A15" s="45" t="str">
        <f>IFERROR(LOP_07!$A$22,"")</f>
        <v/>
      </c>
      <c r="B15" s="45" t="str">
        <f>IFERROR(LOP_07!$B$22,"")</f>
        <v/>
      </c>
      <c r="C15" s="46" t="str">
        <f>IFERROR(LOP_07!$AH$22,"")</f>
        <v/>
      </c>
      <c r="D15" s="46" t="str">
        <f>IFERROR(LOP_07!$AI$22,"")</f>
        <v/>
      </c>
      <c r="E15" s="41" t="str">
        <f t="shared" si="1"/>
        <v/>
      </c>
      <c r="F15" s="41" t="str">
        <f t="shared" si="2"/>
        <v/>
      </c>
      <c r="G15" s="41" t="str">
        <f>IF(A15="","",SUMIFS(CHUYEN_THANG!$D$4:$D$403,CHUYEN_THANG!$A$4:$A$403,$B$4,CHUYEN_THANG!$B$4:$B$403,A15))</f>
        <v/>
      </c>
      <c r="H15" s="41" t="str">
        <f t="shared" si="3"/>
        <v/>
      </c>
      <c r="I15" s="11"/>
      <c r="J15" s="41" t="str">
        <f t="shared" si="4"/>
        <v/>
      </c>
      <c r="K15" s="41" t="str">
        <f t="shared" si="5"/>
        <v/>
      </c>
      <c r="L15" s="48"/>
      <c r="M15" s="9"/>
      <c r="N15" s="49"/>
      <c r="O15" s="49"/>
    </row>
    <row r="16">
      <c r="A16" s="45" t="str">
        <f>IFERROR(LOP_07!$A$23,"")</f>
        <v/>
      </c>
      <c r="B16" s="45" t="str">
        <f>IFERROR(LOP_07!$B$23,"")</f>
        <v/>
      </c>
      <c r="C16" s="46" t="str">
        <f>IFERROR(LOP_07!$AH$23,"")</f>
        <v/>
      </c>
      <c r="D16" s="46" t="str">
        <f>IFERROR(LOP_07!$AI$23,"")</f>
        <v/>
      </c>
      <c r="E16" s="41" t="str">
        <f t="shared" si="1"/>
        <v/>
      </c>
      <c r="F16" s="41" t="str">
        <f t="shared" si="2"/>
        <v/>
      </c>
      <c r="G16" s="41" t="str">
        <f>IF(A16="","",SUMIFS(CHUYEN_THANG!$D$4:$D$403,CHUYEN_THANG!$A$4:$A$403,$B$4,CHUYEN_THANG!$B$4:$B$403,A16))</f>
        <v/>
      </c>
      <c r="H16" s="41" t="str">
        <f t="shared" si="3"/>
        <v/>
      </c>
      <c r="I16" s="11"/>
      <c r="J16" s="41" t="str">
        <f t="shared" si="4"/>
        <v/>
      </c>
      <c r="K16" s="41" t="str">
        <f t="shared" si="5"/>
        <v/>
      </c>
      <c r="L16" s="48"/>
      <c r="M16" s="9"/>
      <c r="N16" s="49"/>
      <c r="O16" s="49"/>
    </row>
    <row r="17">
      <c r="A17" s="45" t="str">
        <f>IFERROR(LOP_07!$A$24,"")</f>
        <v/>
      </c>
      <c r="B17" s="45" t="str">
        <f>IFERROR(LOP_07!$B$24,"")</f>
        <v/>
      </c>
      <c r="C17" s="46" t="str">
        <f>IFERROR(LOP_07!$AH$24,"")</f>
        <v/>
      </c>
      <c r="D17" s="46" t="str">
        <f>IFERROR(LOP_07!$AI$24,"")</f>
        <v/>
      </c>
      <c r="E17" s="41" t="str">
        <f t="shared" si="1"/>
        <v/>
      </c>
      <c r="F17" s="41" t="str">
        <f t="shared" si="2"/>
        <v/>
      </c>
      <c r="G17" s="41" t="str">
        <f>IF(A17="","",SUMIFS(CHUYEN_THANG!$D$4:$D$403,CHUYEN_THANG!$A$4:$A$403,$B$4,CHUYEN_THANG!$B$4:$B$403,A17))</f>
        <v/>
      </c>
      <c r="H17" s="41" t="str">
        <f t="shared" si="3"/>
        <v/>
      </c>
      <c r="I17" s="11"/>
      <c r="J17" s="41" t="str">
        <f t="shared" si="4"/>
        <v/>
      </c>
      <c r="K17" s="41" t="str">
        <f t="shared" si="5"/>
        <v/>
      </c>
      <c r="L17" s="48"/>
      <c r="M17" s="9"/>
      <c r="N17" s="49"/>
      <c r="O17" s="49"/>
    </row>
    <row r="18">
      <c r="A18" s="45" t="str">
        <f>IFERROR(LOP_07!$A$25,"")</f>
        <v/>
      </c>
      <c r="B18" s="45" t="str">
        <f>IFERROR(LOP_07!$B$25,"")</f>
        <v/>
      </c>
      <c r="C18" s="46" t="str">
        <f>IFERROR(LOP_07!$AH$25,"")</f>
        <v/>
      </c>
      <c r="D18" s="46" t="str">
        <f>IFERROR(LOP_07!$AI$25,"")</f>
        <v/>
      </c>
      <c r="E18" s="41" t="str">
        <f t="shared" si="1"/>
        <v/>
      </c>
      <c r="F18" s="41" t="str">
        <f t="shared" si="2"/>
        <v/>
      </c>
      <c r="G18" s="41" t="str">
        <f>IF(A18="","",SUMIFS(CHUYEN_THANG!$D$4:$D$403,CHUYEN_THANG!$A$4:$A$403,$B$4,CHUYEN_THANG!$B$4:$B$403,A18))</f>
        <v/>
      </c>
      <c r="H18" s="41" t="str">
        <f t="shared" si="3"/>
        <v/>
      </c>
      <c r="I18" s="11"/>
      <c r="J18" s="41" t="str">
        <f t="shared" si="4"/>
        <v/>
      </c>
      <c r="K18" s="41" t="str">
        <f t="shared" si="5"/>
        <v/>
      </c>
      <c r="L18" s="48"/>
      <c r="M18" s="9"/>
      <c r="N18" s="49"/>
      <c r="O18" s="49"/>
    </row>
    <row r="19">
      <c r="A19" s="45" t="str">
        <f>IFERROR(LOP_07!$A$26,"")</f>
        <v/>
      </c>
      <c r="B19" s="45" t="str">
        <f>IFERROR(LOP_07!$B$26,"")</f>
        <v/>
      </c>
      <c r="C19" s="46" t="str">
        <f>IFERROR(LOP_07!$AH$26,"")</f>
        <v/>
      </c>
      <c r="D19" s="46" t="str">
        <f>IFERROR(LOP_07!$AI$26,"")</f>
        <v/>
      </c>
      <c r="E19" s="41" t="str">
        <f t="shared" si="1"/>
        <v/>
      </c>
      <c r="F19" s="41" t="str">
        <f t="shared" si="2"/>
        <v/>
      </c>
      <c r="G19" s="41" t="str">
        <f>IF(A19="","",SUMIFS(CHUYEN_THANG!$D$4:$D$403,CHUYEN_THANG!$A$4:$A$403,$B$4,CHUYEN_THANG!$B$4:$B$403,A19))</f>
        <v/>
      </c>
      <c r="H19" s="41" t="str">
        <f t="shared" si="3"/>
        <v/>
      </c>
      <c r="I19" s="11"/>
      <c r="J19" s="41" t="str">
        <f t="shared" si="4"/>
        <v/>
      </c>
      <c r="K19" s="41" t="str">
        <f t="shared" si="5"/>
        <v/>
      </c>
      <c r="L19" s="48"/>
      <c r="M19" s="9"/>
      <c r="N19" s="49"/>
      <c r="O19" s="49"/>
    </row>
    <row r="20">
      <c r="A20" s="45" t="str">
        <f>IFERROR(LOP_07!$A$27,"")</f>
        <v/>
      </c>
      <c r="B20" s="45" t="str">
        <f>IFERROR(LOP_07!$B$27,"")</f>
        <v/>
      </c>
      <c r="C20" s="46" t="str">
        <f>IFERROR(LOP_07!$AH$27,"")</f>
        <v/>
      </c>
      <c r="D20" s="46" t="str">
        <f>IFERROR(LOP_07!$AI$27,"")</f>
        <v/>
      </c>
      <c r="E20" s="41" t="str">
        <f t="shared" si="1"/>
        <v/>
      </c>
      <c r="F20" s="41" t="str">
        <f t="shared" si="2"/>
        <v/>
      </c>
      <c r="G20" s="41" t="str">
        <f>IF(A20="","",SUMIFS(CHUYEN_THANG!$D$4:$D$403,CHUYEN_THANG!$A$4:$A$403,$B$4,CHUYEN_THANG!$B$4:$B$403,A20))</f>
        <v/>
      </c>
      <c r="H20" s="41" t="str">
        <f t="shared" si="3"/>
        <v/>
      </c>
      <c r="I20" s="11"/>
      <c r="J20" s="41" t="str">
        <f t="shared" si="4"/>
        <v/>
      </c>
      <c r="K20" s="41" t="str">
        <f t="shared" si="5"/>
        <v/>
      </c>
      <c r="L20" s="48"/>
      <c r="M20" s="9"/>
      <c r="N20" s="49"/>
      <c r="O20" s="49"/>
    </row>
    <row r="21" ht="15.75" customHeight="1">
      <c r="A21" s="45" t="str">
        <f>IFERROR(LOP_07!$A$28,"")</f>
        <v/>
      </c>
      <c r="B21" s="45" t="str">
        <f>IFERROR(LOP_07!$B$28,"")</f>
        <v/>
      </c>
      <c r="C21" s="46" t="str">
        <f>IFERROR(LOP_07!$AH$28,"")</f>
        <v/>
      </c>
      <c r="D21" s="46" t="str">
        <f>IFERROR(LOP_07!$AI$28,"")</f>
        <v/>
      </c>
      <c r="E21" s="41" t="str">
        <f t="shared" si="1"/>
        <v/>
      </c>
      <c r="F21" s="41" t="str">
        <f t="shared" si="2"/>
        <v/>
      </c>
      <c r="G21" s="41" t="str">
        <f>IF(A21="","",SUMIFS(CHUYEN_THANG!$D$4:$D$403,CHUYEN_THANG!$A$4:$A$403,$B$4,CHUYEN_THANG!$B$4:$B$403,A21))</f>
        <v/>
      </c>
      <c r="H21" s="41" t="str">
        <f t="shared" si="3"/>
        <v/>
      </c>
      <c r="I21" s="11"/>
      <c r="J21" s="41" t="str">
        <f t="shared" si="4"/>
        <v/>
      </c>
      <c r="K21" s="41" t="str">
        <f t="shared" si="5"/>
        <v/>
      </c>
      <c r="L21" s="48"/>
      <c r="M21" s="9"/>
      <c r="N21" s="49"/>
      <c r="O21" s="49"/>
    </row>
    <row r="22" ht="15.75" customHeight="1">
      <c r="A22" s="45" t="str">
        <f>IFERROR(LOP_07!$A$29,"")</f>
        <v/>
      </c>
      <c r="B22" s="45" t="str">
        <f>IFERROR(LOP_07!$B$29,"")</f>
        <v/>
      </c>
      <c r="C22" s="46" t="str">
        <f>IFERROR(LOP_07!$AH$29,"")</f>
        <v/>
      </c>
      <c r="D22" s="46" t="str">
        <f>IFERROR(LOP_07!$AI$29,"")</f>
        <v/>
      </c>
      <c r="E22" s="41" t="str">
        <f t="shared" si="1"/>
        <v/>
      </c>
      <c r="F22" s="41" t="str">
        <f t="shared" si="2"/>
        <v/>
      </c>
      <c r="G22" s="41" t="str">
        <f>IF(A22="","",SUMIFS(CHUYEN_THANG!$D$4:$D$403,CHUYEN_THANG!$A$4:$A$403,$B$4,CHUYEN_THANG!$B$4:$B$403,A22))</f>
        <v/>
      </c>
      <c r="H22" s="41" t="str">
        <f t="shared" si="3"/>
        <v/>
      </c>
      <c r="I22" s="11"/>
      <c r="J22" s="41" t="str">
        <f t="shared" si="4"/>
        <v/>
      </c>
      <c r="K22" s="41" t="str">
        <f t="shared" si="5"/>
        <v/>
      </c>
      <c r="L22" s="48"/>
      <c r="M22" s="9"/>
      <c r="N22" s="49"/>
      <c r="O22" s="49"/>
    </row>
    <row r="23" ht="15.75" customHeight="1">
      <c r="A23" s="45" t="str">
        <f>IFERROR(LOP_07!$A$30,"")</f>
        <v/>
      </c>
      <c r="B23" s="45" t="str">
        <f>IFERROR(LOP_07!$B$30,"")</f>
        <v/>
      </c>
      <c r="C23" s="46" t="str">
        <f>IFERROR(LOP_07!$AH$30,"")</f>
        <v/>
      </c>
      <c r="D23" s="46" t="str">
        <f>IFERROR(LOP_07!$AI$30,"")</f>
        <v/>
      </c>
      <c r="E23" s="41" t="str">
        <f t="shared" si="1"/>
        <v/>
      </c>
      <c r="F23" s="41" t="str">
        <f t="shared" si="2"/>
        <v/>
      </c>
      <c r="G23" s="41" t="str">
        <f>IF(A23="","",SUMIFS(CHUYEN_THANG!$D$4:$D$403,CHUYEN_THANG!$A$4:$A$403,$B$4,CHUYEN_THANG!$B$4:$B$403,A23))</f>
        <v/>
      </c>
      <c r="H23" s="41" t="str">
        <f t="shared" si="3"/>
        <v/>
      </c>
      <c r="I23" s="11"/>
      <c r="J23" s="41" t="str">
        <f t="shared" si="4"/>
        <v/>
      </c>
      <c r="K23" s="41" t="str">
        <f t="shared" si="5"/>
        <v/>
      </c>
      <c r="L23" s="48"/>
      <c r="M23" s="9"/>
      <c r="N23" s="49"/>
      <c r="O23" s="49"/>
    </row>
    <row r="24" ht="15.75" customHeight="1">
      <c r="A24" s="45" t="str">
        <f>IFERROR(LOP_07!$A$31,"")</f>
        <v/>
      </c>
      <c r="B24" s="45" t="str">
        <f>IFERROR(LOP_07!$B$31,"")</f>
        <v/>
      </c>
      <c r="C24" s="46" t="str">
        <f>IFERROR(LOP_07!$AH$31,"")</f>
        <v/>
      </c>
      <c r="D24" s="46" t="str">
        <f>IFERROR(LOP_07!$AI$31,"")</f>
        <v/>
      </c>
      <c r="E24" s="41" t="str">
        <f t="shared" si="1"/>
        <v/>
      </c>
      <c r="F24" s="41" t="str">
        <f t="shared" si="2"/>
        <v/>
      </c>
      <c r="G24" s="41" t="str">
        <f>IF(A24="","",SUMIFS(CHUYEN_THANG!$D$4:$D$403,CHUYEN_THANG!$A$4:$A$403,$B$4,CHUYEN_THANG!$B$4:$B$403,A24))</f>
        <v/>
      </c>
      <c r="H24" s="41" t="str">
        <f t="shared" si="3"/>
        <v/>
      </c>
      <c r="I24" s="11"/>
      <c r="J24" s="41" t="str">
        <f t="shared" si="4"/>
        <v/>
      </c>
      <c r="K24" s="41" t="str">
        <f t="shared" si="5"/>
        <v/>
      </c>
      <c r="L24" s="48"/>
      <c r="M24" s="9"/>
      <c r="N24" s="49"/>
      <c r="O24" s="49"/>
    </row>
    <row r="25" ht="15.75" customHeight="1">
      <c r="A25" s="45" t="str">
        <f>IFERROR(LOP_07!$A$32,"")</f>
        <v/>
      </c>
      <c r="B25" s="45" t="str">
        <f>IFERROR(LOP_07!$B$32,"")</f>
        <v/>
      </c>
      <c r="C25" s="46" t="str">
        <f>IFERROR(LOP_07!$AH$32,"")</f>
        <v/>
      </c>
      <c r="D25" s="46" t="str">
        <f>IFERROR(LOP_07!$AI$32,"")</f>
        <v/>
      </c>
      <c r="E25" s="41" t="str">
        <f t="shared" si="1"/>
        <v/>
      </c>
      <c r="F25" s="41" t="str">
        <f t="shared" si="2"/>
        <v/>
      </c>
      <c r="G25" s="41" t="str">
        <f>IF(A25="","",SUMIFS(CHUYEN_THANG!$D$4:$D$403,CHUYEN_THANG!$A$4:$A$403,$B$4,CHUYEN_THANG!$B$4:$B$403,A25))</f>
        <v/>
      </c>
      <c r="H25" s="41" t="str">
        <f t="shared" si="3"/>
        <v/>
      </c>
      <c r="I25" s="11"/>
      <c r="J25" s="41" t="str">
        <f t="shared" si="4"/>
        <v/>
      </c>
      <c r="K25" s="41" t="str">
        <f t="shared" si="5"/>
        <v/>
      </c>
      <c r="L25" s="48"/>
      <c r="M25" s="9"/>
      <c r="N25" s="49"/>
      <c r="O25" s="49"/>
    </row>
    <row r="26" ht="15.75" customHeight="1">
      <c r="A26" s="45" t="str">
        <f>IFERROR(LOP_07!$A$33,"")</f>
        <v/>
      </c>
      <c r="B26" s="45" t="str">
        <f>IFERROR(LOP_07!$B$33,"")</f>
        <v/>
      </c>
      <c r="C26" s="46" t="str">
        <f>IFERROR(LOP_07!$AH$33,"")</f>
        <v/>
      </c>
      <c r="D26" s="46" t="str">
        <f>IFERROR(LOP_07!$AI$33,"")</f>
        <v/>
      </c>
      <c r="E26" s="41" t="str">
        <f t="shared" si="1"/>
        <v/>
      </c>
      <c r="F26" s="41" t="str">
        <f t="shared" si="2"/>
        <v/>
      </c>
      <c r="G26" s="41" t="str">
        <f>IF(A26="","",SUMIFS(CHUYEN_THANG!$D$4:$D$403,CHUYEN_THANG!$A$4:$A$403,$B$4,CHUYEN_THANG!$B$4:$B$403,A26))</f>
        <v/>
      </c>
      <c r="H26" s="41" t="str">
        <f t="shared" si="3"/>
        <v/>
      </c>
      <c r="I26" s="11"/>
      <c r="J26" s="41" t="str">
        <f t="shared" si="4"/>
        <v/>
      </c>
      <c r="K26" s="41" t="str">
        <f t="shared" si="5"/>
        <v/>
      </c>
      <c r="L26" s="48"/>
      <c r="M26" s="9"/>
      <c r="N26" s="49"/>
      <c r="O26" s="49"/>
    </row>
    <row r="27" ht="15.75" customHeight="1">
      <c r="A27" s="45" t="str">
        <f>IFERROR(LOP_07!$A$34,"")</f>
        <v/>
      </c>
      <c r="B27" s="45" t="str">
        <f>IFERROR(LOP_07!$B$34,"")</f>
        <v/>
      </c>
      <c r="C27" s="46" t="str">
        <f>IFERROR(LOP_07!$AH$34,"")</f>
        <v/>
      </c>
      <c r="D27" s="46" t="str">
        <f>IFERROR(LOP_07!$AI$34,"")</f>
        <v/>
      </c>
      <c r="E27" s="41" t="str">
        <f t="shared" si="1"/>
        <v/>
      </c>
      <c r="F27" s="41" t="str">
        <f t="shared" si="2"/>
        <v/>
      </c>
      <c r="G27" s="41" t="str">
        <f>IF(A27="","",SUMIFS(CHUYEN_THANG!$D$4:$D$403,CHUYEN_THANG!$A$4:$A$403,$B$4,CHUYEN_THANG!$B$4:$B$403,A27))</f>
        <v/>
      </c>
      <c r="H27" s="41" t="str">
        <f t="shared" si="3"/>
        <v/>
      </c>
      <c r="I27" s="11"/>
      <c r="J27" s="41" t="str">
        <f t="shared" si="4"/>
        <v/>
      </c>
      <c r="K27" s="41" t="str">
        <f t="shared" si="5"/>
        <v/>
      </c>
      <c r="L27" s="48"/>
      <c r="M27" s="9"/>
      <c r="N27" s="49"/>
      <c r="O27" s="49"/>
    </row>
    <row r="28" ht="15.75" customHeight="1">
      <c r="A28" s="45" t="str">
        <f>IFERROR(LOP_07!$A$35,"")</f>
        <v/>
      </c>
      <c r="B28" s="45" t="str">
        <f>IFERROR(LOP_07!$B$35,"")</f>
        <v/>
      </c>
      <c r="C28" s="46" t="str">
        <f>IFERROR(LOP_07!$AH$35,"")</f>
        <v/>
      </c>
      <c r="D28" s="46" t="str">
        <f>IFERROR(LOP_07!$AI$35,"")</f>
        <v/>
      </c>
      <c r="E28" s="41" t="str">
        <f t="shared" si="1"/>
        <v/>
      </c>
      <c r="F28" s="41" t="str">
        <f t="shared" si="2"/>
        <v/>
      </c>
      <c r="G28" s="41" t="str">
        <f>IF(A28="","",SUMIFS(CHUYEN_THANG!$D$4:$D$403,CHUYEN_THANG!$A$4:$A$403,$B$4,CHUYEN_THANG!$B$4:$B$403,A28))</f>
        <v/>
      </c>
      <c r="H28" s="41" t="str">
        <f t="shared" si="3"/>
        <v/>
      </c>
      <c r="I28" s="11"/>
      <c r="J28" s="41" t="str">
        <f t="shared" si="4"/>
        <v/>
      </c>
      <c r="K28" s="41" t="str">
        <f t="shared" si="5"/>
        <v/>
      </c>
      <c r="L28" s="48"/>
      <c r="M28" s="9"/>
      <c r="N28" s="49"/>
      <c r="O28" s="49"/>
    </row>
    <row r="29" ht="15.75" customHeight="1">
      <c r="A29" s="45" t="str">
        <f>IFERROR(LOP_07!$A$36,"")</f>
        <v/>
      </c>
      <c r="B29" s="45" t="str">
        <f>IFERROR(LOP_07!$B$36,"")</f>
        <v/>
      </c>
      <c r="C29" s="46" t="str">
        <f>IFERROR(LOP_07!$AH$36,"")</f>
        <v/>
      </c>
      <c r="D29" s="46" t="str">
        <f>IFERROR(LOP_07!$AI$36,"")</f>
        <v/>
      </c>
      <c r="E29" s="41" t="str">
        <f t="shared" si="1"/>
        <v/>
      </c>
      <c r="F29" s="41" t="str">
        <f t="shared" si="2"/>
        <v/>
      </c>
      <c r="G29" s="41" t="str">
        <f>IF(A29="","",SUMIFS(CHUYEN_THANG!$D$4:$D$403,CHUYEN_THANG!$A$4:$A$403,$B$4,CHUYEN_THANG!$B$4:$B$403,A29))</f>
        <v/>
      </c>
      <c r="H29" s="41" t="str">
        <f t="shared" si="3"/>
        <v/>
      </c>
      <c r="I29" s="11"/>
      <c r="J29" s="41" t="str">
        <f t="shared" si="4"/>
        <v/>
      </c>
      <c r="K29" s="41" t="str">
        <f t="shared" si="5"/>
        <v/>
      </c>
      <c r="L29" s="48"/>
      <c r="M29" s="9"/>
      <c r="N29" s="49"/>
      <c r="O29" s="49"/>
    </row>
    <row r="30" ht="15.75" customHeight="1">
      <c r="A30" s="45" t="str">
        <f>IFERROR(LOP_07!$A$37,"")</f>
        <v/>
      </c>
      <c r="B30" s="45" t="str">
        <f>IFERROR(LOP_07!$B$37,"")</f>
        <v/>
      </c>
      <c r="C30" s="46" t="str">
        <f>IFERROR(LOP_07!$AH$37,"")</f>
        <v/>
      </c>
      <c r="D30" s="46" t="str">
        <f>IFERROR(LOP_07!$AI$37,"")</f>
        <v/>
      </c>
      <c r="E30" s="41" t="str">
        <f t="shared" si="1"/>
        <v/>
      </c>
      <c r="F30" s="41" t="str">
        <f t="shared" si="2"/>
        <v/>
      </c>
      <c r="G30" s="41" t="str">
        <f>IF(A30="","",SUMIFS(CHUYEN_THANG!$D$4:$D$403,CHUYEN_THANG!$A$4:$A$403,$B$4,CHUYEN_THANG!$B$4:$B$403,A30))</f>
        <v/>
      </c>
      <c r="H30" s="41" t="str">
        <f t="shared" si="3"/>
        <v/>
      </c>
      <c r="I30" s="11"/>
      <c r="J30" s="41" t="str">
        <f t="shared" si="4"/>
        <v/>
      </c>
      <c r="K30" s="41" t="str">
        <f t="shared" si="5"/>
        <v/>
      </c>
      <c r="L30" s="48"/>
      <c r="M30" s="9"/>
      <c r="N30" s="49"/>
      <c r="O30" s="49"/>
    </row>
    <row r="31" ht="15.75" customHeight="1">
      <c r="A31" s="45" t="str">
        <f>IFERROR(LOP_07!$A$38,"")</f>
        <v/>
      </c>
      <c r="B31" s="45" t="str">
        <f>IFERROR(LOP_07!$B$38,"")</f>
        <v/>
      </c>
      <c r="C31" s="46" t="str">
        <f>IFERROR(LOP_07!$AH$38,"")</f>
        <v/>
      </c>
      <c r="D31" s="46" t="str">
        <f>IFERROR(LOP_07!$AI$38,"")</f>
        <v/>
      </c>
      <c r="E31" s="41" t="str">
        <f t="shared" si="1"/>
        <v/>
      </c>
      <c r="F31" s="41" t="str">
        <f t="shared" si="2"/>
        <v/>
      </c>
      <c r="G31" s="41" t="str">
        <f>IF(A31="","",SUMIFS(CHUYEN_THANG!$D$4:$D$403,CHUYEN_THANG!$A$4:$A$403,$B$4,CHUYEN_THANG!$B$4:$B$403,A31))</f>
        <v/>
      </c>
      <c r="H31" s="41" t="str">
        <f t="shared" si="3"/>
        <v/>
      </c>
      <c r="I31" s="11"/>
      <c r="J31" s="41" t="str">
        <f t="shared" si="4"/>
        <v/>
      </c>
      <c r="K31" s="41" t="str">
        <f t="shared" si="5"/>
        <v/>
      </c>
      <c r="L31" s="48"/>
      <c r="M31" s="9"/>
      <c r="N31" s="49"/>
      <c r="O31" s="49"/>
    </row>
    <row r="32" ht="15.75" customHeight="1">
      <c r="A32" s="45" t="str">
        <f>IFERROR(LOP_07!$A$39,"")</f>
        <v/>
      </c>
      <c r="B32" s="45" t="str">
        <f>IFERROR(LOP_07!$B$39,"")</f>
        <v/>
      </c>
      <c r="C32" s="46" t="str">
        <f>IFERROR(LOP_07!$AH$39,"")</f>
        <v/>
      </c>
      <c r="D32" s="46" t="str">
        <f>IFERROR(LOP_07!$AI$39,"")</f>
        <v/>
      </c>
      <c r="E32" s="41" t="str">
        <f t="shared" si="1"/>
        <v/>
      </c>
      <c r="F32" s="41" t="str">
        <f t="shared" si="2"/>
        <v/>
      </c>
      <c r="G32" s="41" t="str">
        <f>IF(A32="","",SUMIFS(CHUYEN_THANG!$D$4:$D$403,CHUYEN_THANG!$A$4:$A$403,$B$4,CHUYEN_THANG!$B$4:$B$403,A32))</f>
        <v/>
      </c>
      <c r="H32" s="41" t="str">
        <f t="shared" si="3"/>
        <v/>
      </c>
      <c r="I32" s="11"/>
      <c r="J32" s="41" t="str">
        <f t="shared" si="4"/>
        <v/>
      </c>
      <c r="K32" s="41" t="str">
        <f t="shared" si="5"/>
        <v/>
      </c>
      <c r="L32" s="48"/>
      <c r="M32" s="9"/>
      <c r="N32" s="49"/>
      <c r="O32" s="49"/>
    </row>
    <row r="33" ht="15.75" customHeight="1">
      <c r="A33" s="45" t="str">
        <f>IFERROR(LOP_07!$A$40,"")</f>
        <v/>
      </c>
      <c r="B33" s="45" t="str">
        <f>IFERROR(LOP_07!$B$40,"")</f>
        <v/>
      </c>
      <c r="C33" s="46" t="str">
        <f>IFERROR(LOP_07!$AH$40,"")</f>
        <v/>
      </c>
      <c r="D33" s="46" t="str">
        <f>IFERROR(LOP_07!$AI$40,"")</f>
        <v/>
      </c>
      <c r="E33" s="41" t="str">
        <f t="shared" si="1"/>
        <v/>
      </c>
      <c r="F33" s="41" t="str">
        <f t="shared" si="2"/>
        <v/>
      </c>
      <c r="G33" s="41" t="str">
        <f>IF(A33="","",SUMIFS(CHUYEN_THANG!$D$4:$D$403,CHUYEN_THANG!$A$4:$A$403,$B$4,CHUYEN_THANG!$B$4:$B$403,A33))</f>
        <v/>
      </c>
      <c r="H33" s="41" t="str">
        <f t="shared" si="3"/>
        <v/>
      </c>
      <c r="I33" s="11"/>
      <c r="J33" s="41" t="str">
        <f t="shared" si="4"/>
        <v/>
      </c>
      <c r="K33" s="41" t="str">
        <f t="shared" si="5"/>
        <v/>
      </c>
      <c r="L33" s="48"/>
      <c r="M33" s="9"/>
      <c r="N33" s="49"/>
      <c r="O33" s="49"/>
    </row>
    <row r="34" ht="15.75" customHeight="1">
      <c r="A34" s="45" t="str">
        <f>IFERROR(LOP_07!$A$41,"")</f>
        <v/>
      </c>
      <c r="B34" s="45" t="str">
        <f>IFERROR(LOP_07!$B$41,"")</f>
        <v/>
      </c>
      <c r="C34" s="46" t="str">
        <f>IFERROR(LOP_07!$AH$41,"")</f>
        <v/>
      </c>
      <c r="D34" s="46" t="str">
        <f>IFERROR(LOP_07!$AI$41,"")</f>
        <v/>
      </c>
      <c r="E34" s="41" t="str">
        <f t="shared" si="1"/>
        <v/>
      </c>
      <c r="F34" s="41" t="str">
        <f t="shared" si="2"/>
        <v/>
      </c>
      <c r="G34" s="41" t="str">
        <f>IF(A34="","",SUMIFS(CHUYEN_THANG!$D$4:$D$403,CHUYEN_THANG!$A$4:$A$403,$B$4,CHUYEN_THANG!$B$4:$B$403,A34))</f>
        <v/>
      </c>
      <c r="H34" s="41" t="str">
        <f t="shared" si="3"/>
        <v/>
      </c>
      <c r="I34" s="11"/>
      <c r="J34" s="41" t="str">
        <f t="shared" si="4"/>
        <v/>
      </c>
      <c r="K34" s="41" t="str">
        <f t="shared" si="5"/>
        <v/>
      </c>
      <c r="L34" s="48"/>
      <c r="M34" s="9"/>
      <c r="N34" s="49"/>
      <c r="O34" s="49"/>
    </row>
    <row r="35" ht="15.75" customHeight="1">
      <c r="A35" s="45" t="str">
        <f>IFERROR(LOP_07!$A$42,"")</f>
        <v/>
      </c>
      <c r="B35" s="45" t="str">
        <f>IFERROR(LOP_07!$B$42,"")</f>
        <v/>
      </c>
      <c r="C35" s="46" t="str">
        <f>IFERROR(LOP_07!$AH$42,"")</f>
        <v/>
      </c>
      <c r="D35" s="46" t="str">
        <f>IFERROR(LOP_07!$AI$42,"")</f>
        <v/>
      </c>
      <c r="E35" s="41" t="str">
        <f t="shared" si="1"/>
        <v/>
      </c>
      <c r="F35" s="41" t="str">
        <f t="shared" si="2"/>
        <v/>
      </c>
      <c r="G35" s="41" t="str">
        <f>IF(A35="","",SUMIFS(CHUYEN_THANG!$D$4:$D$403,CHUYEN_THANG!$A$4:$A$403,$B$4,CHUYEN_THANG!$B$4:$B$403,A35))</f>
        <v/>
      </c>
      <c r="H35" s="41" t="str">
        <f t="shared" si="3"/>
        <v/>
      </c>
      <c r="I35" s="11"/>
      <c r="J35" s="41" t="str">
        <f t="shared" si="4"/>
        <v/>
      </c>
      <c r="K35" s="41" t="str">
        <f t="shared" si="5"/>
        <v/>
      </c>
      <c r="L35" s="48"/>
      <c r="M35" s="9"/>
      <c r="N35" s="49"/>
      <c r="O35" s="49"/>
    </row>
    <row r="36" ht="15.75" customHeight="1">
      <c r="A36" s="45" t="str">
        <f>IFERROR(LOP_07!$A$43,"")</f>
        <v/>
      </c>
      <c r="B36" s="45" t="str">
        <f>IFERROR(LOP_07!$B$43,"")</f>
        <v/>
      </c>
      <c r="C36" s="46" t="str">
        <f>IFERROR(LOP_07!$AH$43,"")</f>
        <v/>
      </c>
      <c r="D36" s="46" t="str">
        <f>IFERROR(LOP_07!$AI$43,"")</f>
        <v/>
      </c>
      <c r="E36" s="41" t="str">
        <f t="shared" si="1"/>
        <v/>
      </c>
      <c r="F36" s="41" t="str">
        <f t="shared" si="2"/>
        <v/>
      </c>
      <c r="G36" s="41" t="str">
        <f>IF(A36="","",SUMIFS(CHUYEN_THANG!$D$4:$D$403,CHUYEN_THANG!$A$4:$A$403,$B$4,CHUYEN_THANG!$B$4:$B$403,A36))</f>
        <v/>
      </c>
      <c r="H36" s="41" t="str">
        <f t="shared" si="3"/>
        <v/>
      </c>
      <c r="I36" s="11"/>
      <c r="J36" s="41" t="str">
        <f t="shared" si="4"/>
        <v/>
      </c>
      <c r="K36" s="41" t="str">
        <f t="shared" si="5"/>
        <v/>
      </c>
      <c r="L36" s="48"/>
      <c r="M36" s="9"/>
      <c r="N36" s="49"/>
      <c r="O36" s="49"/>
    </row>
    <row r="37" ht="15.75" customHeight="1">
      <c r="A37" s="45" t="str">
        <f>IFERROR(LOP_07!$A$44,"")</f>
        <v/>
      </c>
      <c r="B37" s="45" t="str">
        <f>IFERROR(LOP_07!$B$44,"")</f>
        <v/>
      </c>
      <c r="C37" s="46" t="str">
        <f>IFERROR(LOP_07!$AH$44,"")</f>
        <v/>
      </c>
      <c r="D37" s="46" t="str">
        <f>IFERROR(LOP_07!$AI$44,"")</f>
        <v/>
      </c>
      <c r="E37" s="41" t="str">
        <f t="shared" si="1"/>
        <v/>
      </c>
      <c r="F37" s="41" t="str">
        <f t="shared" si="2"/>
        <v/>
      </c>
      <c r="G37" s="41" t="str">
        <f>IF(A37="","",SUMIFS(CHUYEN_THANG!$D$4:$D$403,CHUYEN_THANG!$A$4:$A$403,$B$4,CHUYEN_THANG!$B$4:$B$403,A37))</f>
        <v/>
      </c>
      <c r="H37" s="41" t="str">
        <f t="shared" si="3"/>
        <v/>
      </c>
      <c r="I37" s="11"/>
      <c r="J37" s="41" t="str">
        <f t="shared" si="4"/>
        <v/>
      </c>
      <c r="K37" s="41" t="str">
        <f t="shared" si="5"/>
        <v/>
      </c>
      <c r="L37" s="48"/>
      <c r="M37" s="9"/>
      <c r="N37" s="49"/>
      <c r="O37" s="49"/>
    </row>
    <row r="38" ht="15.75" customHeight="1">
      <c r="A38" s="45" t="str">
        <f>IFERROR(LOP_07!$A$45,"")</f>
        <v/>
      </c>
      <c r="B38" s="45" t="str">
        <f>IFERROR(LOP_07!$B$45,"")</f>
        <v/>
      </c>
      <c r="C38" s="46" t="str">
        <f>IFERROR(LOP_07!$AH$45,"")</f>
        <v/>
      </c>
      <c r="D38" s="46" t="str">
        <f>IFERROR(LOP_07!$AI$45,"")</f>
        <v/>
      </c>
      <c r="E38" s="41" t="str">
        <f t="shared" si="1"/>
        <v/>
      </c>
      <c r="F38" s="41" t="str">
        <f t="shared" si="2"/>
        <v/>
      </c>
      <c r="G38" s="41" t="str">
        <f>IF(A38="","",SUMIFS(CHUYEN_THANG!$D$4:$D$403,CHUYEN_THANG!$A$4:$A$403,$B$4,CHUYEN_THANG!$B$4:$B$403,A38))</f>
        <v/>
      </c>
      <c r="H38" s="41" t="str">
        <f t="shared" si="3"/>
        <v/>
      </c>
      <c r="I38" s="11"/>
      <c r="J38" s="41" t="str">
        <f t="shared" si="4"/>
        <v/>
      </c>
      <c r="K38" s="41" t="str">
        <f t="shared" si="5"/>
        <v/>
      </c>
      <c r="L38" s="48"/>
      <c r="M38" s="9"/>
      <c r="N38" s="49"/>
      <c r="O38" s="49"/>
    </row>
    <row r="39" ht="15.75" customHeight="1">
      <c r="A39" s="45" t="str">
        <f>IFERROR(LOP_07!$A$46,"")</f>
        <v/>
      </c>
      <c r="B39" s="45" t="str">
        <f>IFERROR(LOP_07!$B$46,"")</f>
        <v/>
      </c>
      <c r="C39" s="46" t="str">
        <f>IFERROR(LOP_07!$AH$46,"")</f>
        <v/>
      </c>
      <c r="D39" s="46" t="str">
        <f>IFERROR(LOP_07!$AI$46,"")</f>
        <v/>
      </c>
      <c r="E39" s="41" t="str">
        <f t="shared" si="1"/>
        <v/>
      </c>
      <c r="F39" s="41" t="str">
        <f t="shared" si="2"/>
        <v/>
      </c>
      <c r="G39" s="41" t="str">
        <f>IF(A39="","",SUMIFS(CHUYEN_THANG!$D$4:$D$403,CHUYEN_THANG!$A$4:$A$403,$B$4,CHUYEN_THANG!$B$4:$B$403,A39))</f>
        <v/>
      </c>
      <c r="H39" s="41" t="str">
        <f t="shared" si="3"/>
        <v/>
      </c>
      <c r="I39" s="11"/>
      <c r="J39" s="41" t="str">
        <f t="shared" si="4"/>
        <v/>
      </c>
      <c r="K39" s="41" t="str">
        <f t="shared" si="5"/>
        <v/>
      </c>
      <c r="L39" s="48"/>
      <c r="M39" s="9"/>
      <c r="N39" s="49"/>
      <c r="O39" s="49"/>
    </row>
    <row r="40" ht="15.75" customHeight="1">
      <c r="A40" s="45" t="str">
        <f>IFERROR(LOP_07!$A$47,"")</f>
        <v/>
      </c>
      <c r="B40" s="45" t="str">
        <f>IFERROR(LOP_07!$B$47,"")</f>
        <v/>
      </c>
      <c r="C40" s="46" t="str">
        <f>IFERROR(LOP_07!$AH$47,"")</f>
        <v/>
      </c>
      <c r="D40" s="46" t="str">
        <f>IFERROR(LOP_07!$AI$47,"")</f>
        <v/>
      </c>
      <c r="E40" s="41" t="str">
        <f t="shared" si="1"/>
        <v/>
      </c>
      <c r="F40" s="41" t="str">
        <f t="shared" si="2"/>
        <v/>
      </c>
      <c r="G40" s="41" t="str">
        <f>IF(A40="","",SUMIFS(CHUYEN_THANG!$D$4:$D$403,CHUYEN_THANG!$A$4:$A$403,$B$4,CHUYEN_THANG!$B$4:$B$403,A40))</f>
        <v/>
      </c>
      <c r="H40" s="41" t="str">
        <f t="shared" si="3"/>
        <v/>
      </c>
      <c r="I40" s="11"/>
      <c r="J40" s="41" t="str">
        <f t="shared" si="4"/>
        <v/>
      </c>
      <c r="K40" s="41" t="str">
        <f t="shared" si="5"/>
        <v/>
      </c>
      <c r="L40" s="48"/>
      <c r="M40" s="9"/>
      <c r="N40" s="49"/>
      <c r="O40" s="49"/>
    </row>
    <row r="41" ht="15.75" customHeight="1">
      <c r="A41" s="45" t="str">
        <f>IFERROR(LOP_07!$A$48,"")</f>
        <v/>
      </c>
      <c r="B41" s="45" t="str">
        <f>IFERROR(LOP_07!$B$48,"")</f>
        <v/>
      </c>
      <c r="C41" s="46" t="str">
        <f>IFERROR(LOP_07!$AH$48,"")</f>
        <v/>
      </c>
      <c r="D41" s="46" t="str">
        <f>IFERROR(LOP_07!$AI$48,"")</f>
        <v/>
      </c>
      <c r="E41" s="41" t="str">
        <f t="shared" si="1"/>
        <v/>
      </c>
      <c r="F41" s="41" t="str">
        <f t="shared" si="2"/>
        <v/>
      </c>
      <c r="G41" s="41" t="str">
        <f>IF(A41="","",SUMIFS(CHUYEN_THANG!$D$4:$D$403,CHUYEN_THANG!$A$4:$A$403,$B$4,CHUYEN_THANG!$B$4:$B$403,A41))</f>
        <v/>
      </c>
      <c r="H41" s="41" t="str">
        <f t="shared" si="3"/>
        <v/>
      </c>
      <c r="I41" s="11"/>
      <c r="J41" s="41" t="str">
        <f t="shared" si="4"/>
        <v/>
      </c>
      <c r="K41" s="41" t="str">
        <f t="shared" si="5"/>
        <v/>
      </c>
      <c r="L41" s="48"/>
      <c r="M41" s="9"/>
      <c r="N41" s="49"/>
      <c r="O41" s="49"/>
    </row>
    <row r="42" ht="15.75" customHeight="1">
      <c r="A42" s="45" t="str">
        <f>IFERROR(LOP_07!$A$49,"")</f>
        <v/>
      </c>
      <c r="B42" s="45" t="str">
        <f>IFERROR(LOP_07!$B$49,"")</f>
        <v/>
      </c>
      <c r="C42" s="46" t="str">
        <f>IFERROR(LOP_07!$AH$49,"")</f>
        <v/>
      </c>
      <c r="D42" s="46" t="str">
        <f>IFERROR(LOP_07!$AI$49,"")</f>
        <v/>
      </c>
      <c r="E42" s="41" t="str">
        <f t="shared" si="1"/>
        <v/>
      </c>
      <c r="F42" s="41" t="str">
        <f t="shared" si="2"/>
        <v/>
      </c>
      <c r="G42" s="41" t="str">
        <f>IF(A42="","",SUMIFS(CHUYEN_THANG!$D$4:$D$403,CHUYEN_THANG!$A$4:$A$403,$B$4,CHUYEN_THANG!$B$4:$B$403,A42))</f>
        <v/>
      </c>
      <c r="H42" s="41" t="str">
        <f t="shared" si="3"/>
        <v/>
      </c>
      <c r="I42" s="11"/>
      <c r="J42" s="41" t="str">
        <f t="shared" si="4"/>
        <v/>
      </c>
      <c r="K42" s="41" t="str">
        <f t="shared" si="5"/>
        <v/>
      </c>
      <c r="L42" s="48"/>
      <c r="M42" s="9"/>
      <c r="N42" s="49"/>
      <c r="O42" s="49"/>
    </row>
    <row r="43" ht="15.75" customHeight="1">
      <c r="A43" s="45" t="str">
        <f>IFERROR(LOP_07!$A$50,"")</f>
        <v/>
      </c>
      <c r="B43" s="45" t="str">
        <f>IFERROR(LOP_07!$B$50,"")</f>
        <v/>
      </c>
      <c r="C43" s="46" t="str">
        <f>IFERROR(LOP_07!$AH$50,"")</f>
        <v/>
      </c>
      <c r="D43" s="46" t="str">
        <f>IFERROR(LOP_07!$AI$50,"")</f>
        <v/>
      </c>
      <c r="E43" s="41" t="str">
        <f t="shared" si="1"/>
        <v/>
      </c>
      <c r="F43" s="41" t="str">
        <f t="shared" si="2"/>
        <v/>
      </c>
      <c r="G43" s="41" t="str">
        <f>IF(A43="","",SUMIFS(CHUYEN_THANG!$D$4:$D$403,CHUYEN_THANG!$A$4:$A$403,$B$4,CHUYEN_THANG!$B$4:$B$403,A43))</f>
        <v/>
      </c>
      <c r="H43" s="41" t="str">
        <f t="shared" si="3"/>
        <v/>
      </c>
      <c r="I43" s="11"/>
      <c r="J43" s="41" t="str">
        <f t="shared" si="4"/>
        <v/>
      </c>
      <c r="K43" s="41" t="str">
        <f t="shared" si="5"/>
        <v/>
      </c>
      <c r="L43" s="48"/>
      <c r="M43" s="9"/>
      <c r="N43" s="49"/>
      <c r="O43" s="49"/>
    </row>
    <row r="44" ht="15.75" customHeight="1">
      <c r="A44" s="50"/>
      <c r="B44" s="50"/>
      <c r="C44" s="51"/>
      <c r="D44" s="51"/>
      <c r="E44" s="43"/>
      <c r="F44" s="43"/>
      <c r="G44" s="43"/>
      <c r="H44" s="43"/>
      <c r="I44" s="49"/>
      <c r="J44" s="43"/>
      <c r="K44" s="43"/>
      <c r="L44" s="52"/>
      <c r="M44" s="53"/>
      <c r="N44" s="49"/>
      <c r="O44" s="49"/>
    </row>
    <row r="45" ht="15.75" customHeight="1">
      <c r="A45" s="50"/>
      <c r="B45" s="50"/>
      <c r="C45" s="51"/>
      <c r="D45" s="51"/>
      <c r="E45" s="43"/>
      <c r="F45" s="43"/>
      <c r="G45" s="43"/>
      <c r="H45" s="43"/>
      <c r="I45" s="49"/>
      <c r="J45" s="43"/>
      <c r="K45" s="43"/>
      <c r="L45" s="52"/>
      <c r="M45" s="53"/>
      <c r="N45" s="49"/>
      <c r="O45" s="49"/>
    </row>
    <row r="46" ht="15.75" customHeight="1">
      <c r="A46" s="50"/>
      <c r="B46" s="50"/>
      <c r="C46" s="51"/>
      <c r="D46" s="51"/>
      <c r="E46" s="43"/>
      <c r="F46" s="43"/>
      <c r="G46" s="43"/>
      <c r="H46" s="43"/>
      <c r="I46" s="49"/>
      <c r="J46" s="43"/>
      <c r="K46" s="43"/>
      <c r="L46" s="52"/>
      <c r="M46" s="53"/>
      <c r="N46" s="49"/>
      <c r="O46" s="49"/>
    </row>
    <row r="47" ht="15.75" customHeight="1">
      <c r="A47" s="50"/>
      <c r="B47" s="50"/>
      <c r="C47" s="51"/>
      <c r="D47" s="51"/>
      <c r="E47" s="43"/>
      <c r="F47" s="43"/>
      <c r="G47" s="43"/>
      <c r="H47" s="43"/>
      <c r="I47" s="49"/>
      <c r="J47" s="43"/>
      <c r="K47" s="43"/>
      <c r="L47" s="52"/>
      <c r="M47" s="53"/>
      <c r="N47" s="49"/>
      <c r="O47" s="49"/>
    </row>
    <row r="48" ht="15.75" customHeight="1">
      <c r="A48" s="50"/>
      <c r="B48" s="50"/>
      <c r="C48" s="51"/>
      <c r="D48" s="51"/>
      <c r="E48" s="43"/>
      <c r="F48" s="43"/>
      <c r="G48" s="43"/>
      <c r="H48" s="43"/>
      <c r="I48" s="49"/>
      <c r="J48" s="43"/>
      <c r="K48" s="43"/>
      <c r="L48" s="52"/>
      <c r="M48" s="53"/>
      <c r="N48" s="49"/>
      <c r="O48" s="49"/>
    </row>
    <row r="49" ht="15.75" customHeight="1">
      <c r="A49" s="50"/>
      <c r="B49" s="50"/>
      <c r="C49" s="51"/>
      <c r="D49" s="51"/>
      <c r="E49" s="43"/>
      <c r="F49" s="43"/>
      <c r="G49" s="43"/>
      <c r="H49" s="43"/>
      <c r="I49" s="49"/>
      <c r="J49" s="43"/>
      <c r="K49" s="43"/>
      <c r="L49" s="52"/>
      <c r="M49" s="53"/>
      <c r="N49" s="49"/>
      <c r="O49" s="49"/>
    </row>
    <row r="50" ht="15.75" customHeight="1">
      <c r="A50" s="50"/>
      <c r="B50" s="50"/>
      <c r="C50" s="51"/>
      <c r="D50" s="51"/>
      <c r="E50" s="43"/>
      <c r="F50" s="43"/>
      <c r="G50" s="43"/>
      <c r="H50" s="43"/>
      <c r="I50" s="49"/>
      <c r="J50" s="43"/>
      <c r="K50" s="43"/>
      <c r="L50" s="52"/>
      <c r="M50" s="53"/>
      <c r="N50" s="49"/>
      <c r="O50" s="49"/>
    </row>
    <row r="51" ht="15.75" customHeight="1">
      <c r="A51" s="50"/>
      <c r="B51" s="50"/>
      <c r="C51" s="51"/>
      <c r="D51" s="51"/>
      <c r="E51" s="43"/>
      <c r="F51" s="43"/>
      <c r="G51" s="43"/>
      <c r="H51" s="43"/>
      <c r="I51" s="49"/>
      <c r="J51" s="43"/>
      <c r="K51" s="43"/>
      <c r="L51" s="52"/>
      <c r="M51" s="53"/>
      <c r="N51" s="49"/>
      <c r="O51" s="49"/>
    </row>
    <row r="52" ht="15.75" customHeight="1">
      <c r="A52" s="50"/>
      <c r="B52" s="50"/>
      <c r="C52" s="51"/>
      <c r="D52" s="51"/>
      <c r="E52" s="43"/>
      <c r="F52" s="43"/>
      <c r="G52" s="43"/>
      <c r="H52" s="43"/>
      <c r="I52" s="49"/>
      <c r="J52" s="43"/>
      <c r="K52" s="43"/>
      <c r="L52" s="52"/>
      <c r="M52" s="53"/>
      <c r="N52" s="49"/>
      <c r="O52" s="49"/>
    </row>
    <row r="53" ht="15.75" customHeight="1">
      <c r="A53" s="50"/>
      <c r="B53" s="50"/>
      <c r="C53" s="51"/>
      <c r="D53" s="51"/>
      <c r="E53" s="43"/>
      <c r="F53" s="43"/>
      <c r="G53" s="43"/>
      <c r="H53" s="43"/>
      <c r="I53" s="49"/>
      <c r="J53" s="43"/>
      <c r="K53" s="43"/>
      <c r="L53" s="52"/>
      <c r="M53" s="53"/>
      <c r="N53" s="49"/>
      <c r="O53" s="49"/>
    </row>
    <row r="54" ht="15.75" customHeight="1">
      <c r="A54" s="50"/>
      <c r="B54" s="50"/>
      <c r="C54" s="51"/>
      <c r="D54" s="51"/>
      <c r="E54" s="43"/>
      <c r="F54" s="43"/>
      <c r="G54" s="43"/>
      <c r="H54" s="43"/>
      <c r="I54" s="49"/>
      <c r="J54" s="43"/>
      <c r="K54" s="43"/>
      <c r="L54" s="52"/>
      <c r="M54" s="53"/>
      <c r="N54" s="49"/>
      <c r="O54" s="49"/>
    </row>
    <row r="55" ht="15.75" customHeight="1">
      <c r="A55" s="50"/>
      <c r="B55" s="50"/>
      <c r="C55" s="51"/>
      <c r="D55" s="51"/>
      <c r="E55" s="43"/>
      <c r="F55" s="43"/>
      <c r="G55" s="43"/>
      <c r="H55" s="43"/>
      <c r="I55" s="49"/>
      <c r="J55" s="43"/>
      <c r="K55" s="43"/>
      <c r="L55" s="52"/>
      <c r="M55" s="53"/>
      <c r="N55" s="49"/>
      <c r="O55" s="49"/>
    </row>
    <row r="56" ht="15.75" customHeight="1">
      <c r="A56" s="50"/>
      <c r="B56" s="50"/>
      <c r="C56" s="51"/>
      <c r="D56" s="51"/>
      <c r="E56" s="43"/>
      <c r="F56" s="43"/>
      <c r="G56" s="43"/>
      <c r="H56" s="43"/>
      <c r="I56" s="49"/>
      <c r="J56" s="43"/>
      <c r="K56" s="43"/>
      <c r="L56" s="52"/>
      <c r="M56" s="53"/>
      <c r="N56" s="49"/>
      <c r="O56" s="49"/>
    </row>
    <row r="57" ht="15.75" customHeight="1">
      <c r="A57" s="50"/>
      <c r="B57" s="50"/>
      <c r="C57" s="51"/>
      <c r="D57" s="51"/>
      <c r="E57" s="43"/>
      <c r="F57" s="43"/>
      <c r="G57" s="43"/>
      <c r="H57" s="43"/>
      <c r="I57" s="49"/>
      <c r="J57" s="43"/>
      <c r="K57" s="43"/>
      <c r="L57" s="52"/>
      <c r="M57" s="53"/>
      <c r="N57" s="49"/>
      <c r="O57" s="49"/>
    </row>
    <row r="58" ht="15.75" customHeight="1">
      <c r="A58" s="50"/>
      <c r="B58" s="50"/>
      <c r="C58" s="51"/>
      <c r="D58" s="51"/>
      <c r="E58" s="43"/>
      <c r="F58" s="43"/>
      <c r="G58" s="43"/>
      <c r="H58" s="43"/>
      <c r="I58" s="49"/>
      <c r="J58" s="43"/>
      <c r="K58" s="43"/>
      <c r="L58" s="52"/>
      <c r="M58" s="53"/>
      <c r="N58" s="49"/>
      <c r="O58" s="49"/>
    </row>
    <row r="59" ht="15.75" customHeight="1">
      <c r="A59" s="50"/>
      <c r="B59" s="50"/>
      <c r="C59" s="51"/>
      <c r="D59" s="51"/>
      <c r="E59" s="43"/>
      <c r="F59" s="43"/>
      <c r="G59" s="43"/>
      <c r="H59" s="43"/>
      <c r="I59" s="49"/>
      <c r="J59" s="43"/>
      <c r="K59" s="43"/>
      <c r="L59" s="52"/>
      <c r="M59" s="53"/>
      <c r="N59" s="49"/>
      <c r="O59" s="49"/>
    </row>
    <row r="60" ht="15.75" customHeight="1">
      <c r="A60" s="50"/>
      <c r="B60" s="50"/>
      <c r="C60" s="51"/>
      <c r="D60" s="51"/>
      <c r="E60" s="43"/>
      <c r="F60" s="43"/>
      <c r="G60" s="43"/>
      <c r="H60" s="43"/>
      <c r="I60" s="49"/>
      <c r="J60" s="43"/>
      <c r="K60" s="43"/>
      <c r="L60" s="52"/>
      <c r="M60" s="53"/>
      <c r="N60" s="49"/>
      <c r="O60" s="49"/>
    </row>
    <row r="61" ht="15.75" customHeight="1">
      <c r="A61" s="50"/>
      <c r="B61" s="50"/>
      <c r="C61" s="51"/>
      <c r="D61" s="51"/>
      <c r="E61" s="43"/>
      <c r="F61" s="43"/>
      <c r="G61" s="43"/>
      <c r="H61" s="43"/>
      <c r="I61" s="49"/>
      <c r="J61" s="43"/>
      <c r="K61" s="43"/>
      <c r="L61" s="52"/>
      <c r="M61" s="53"/>
      <c r="N61" s="49"/>
      <c r="O61" s="49"/>
    </row>
    <row r="62" ht="15.75" customHeight="1">
      <c r="A62" s="50"/>
      <c r="B62" s="50"/>
      <c r="C62" s="51"/>
      <c r="D62" s="51"/>
      <c r="E62" s="43"/>
      <c r="F62" s="43"/>
      <c r="G62" s="43"/>
      <c r="H62" s="43"/>
      <c r="I62" s="49"/>
      <c r="J62" s="43"/>
      <c r="K62" s="43"/>
      <c r="L62" s="52"/>
      <c r="M62" s="53"/>
      <c r="N62" s="49"/>
      <c r="O62" s="49"/>
    </row>
    <row r="63" ht="15.75" customHeight="1">
      <c r="A63" s="50"/>
      <c r="B63" s="50"/>
      <c r="C63" s="51"/>
      <c r="D63" s="51"/>
      <c r="E63" s="43"/>
      <c r="F63" s="43"/>
      <c r="G63" s="43"/>
      <c r="H63" s="43"/>
      <c r="I63" s="49"/>
      <c r="J63" s="43"/>
      <c r="K63" s="43"/>
      <c r="L63" s="52"/>
      <c r="M63" s="53"/>
      <c r="N63" s="49"/>
      <c r="O63" s="49"/>
    </row>
    <row r="64" ht="15.75" customHeight="1">
      <c r="A64" s="50"/>
      <c r="B64" s="50"/>
      <c r="C64" s="51"/>
      <c r="D64" s="51"/>
      <c r="E64" s="43"/>
      <c r="F64" s="43"/>
      <c r="G64" s="43"/>
      <c r="H64" s="43"/>
      <c r="I64" s="49"/>
      <c r="J64" s="43"/>
      <c r="K64" s="43"/>
      <c r="L64" s="52"/>
      <c r="M64" s="53"/>
      <c r="N64" s="49"/>
      <c r="O64" s="49"/>
    </row>
    <row r="65" ht="15.75" customHeight="1">
      <c r="A65" s="50"/>
      <c r="B65" s="50"/>
      <c r="C65" s="51"/>
      <c r="D65" s="51"/>
      <c r="E65" s="43"/>
      <c r="F65" s="43"/>
      <c r="G65" s="43"/>
      <c r="H65" s="43"/>
      <c r="I65" s="49"/>
      <c r="J65" s="43"/>
      <c r="K65" s="43"/>
      <c r="L65" s="52"/>
      <c r="M65" s="53"/>
      <c r="N65" s="49"/>
      <c r="O65" s="49"/>
    </row>
    <row r="66" ht="15.75" customHeight="1">
      <c r="A66" s="50"/>
      <c r="B66" s="50"/>
      <c r="C66" s="51"/>
      <c r="D66" s="51"/>
      <c r="E66" s="43"/>
      <c r="F66" s="43"/>
      <c r="G66" s="43"/>
      <c r="H66" s="43"/>
      <c r="I66" s="49"/>
      <c r="J66" s="43"/>
      <c r="K66" s="43"/>
      <c r="L66" s="52"/>
      <c r="M66" s="53"/>
      <c r="N66" s="49"/>
      <c r="O66" s="49"/>
    </row>
    <row r="67" ht="15.75" customHeight="1">
      <c r="A67" s="50"/>
      <c r="B67" s="50"/>
      <c r="C67" s="51"/>
      <c r="D67" s="51"/>
      <c r="E67" s="43"/>
      <c r="F67" s="43"/>
      <c r="G67" s="43"/>
      <c r="H67" s="43"/>
      <c r="I67" s="49"/>
      <c r="J67" s="43"/>
      <c r="K67" s="43"/>
      <c r="L67" s="52"/>
      <c r="M67" s="53"/>
      <c r="N67" s="49"/>
      <c r="O67" s="49"/>
    </row>
    <row r="68" ht="15.75" customHeight="1">
      <c r="A68" s="50"/>
      <c r="B68" s="50"/>
      <c r="C68" s="51"/>
      <c r="D68" s="51"/>
      <c r="E68" s="43"/>
      <c r="F68" s="43"/>
      <c r="G68" s="43"/>
      <c r="H68" s="43"/>
      <c r="I68" s="49"/>
      <c r="J68" s="43"/>
      <c r="K68" s="43"/>
      <c r="L68" s="52"/>
      <c r="M68" s="53"/>
      <c r="N68" s="49"/>
      <c r="O68" s="49"/>
    </row>
    <row r="69" ht="15.75" customHeight="1">
      <c r="A69" s="50"/>
      <c r="B69" s="50"/>
      <c r="C69" s="51"/>
      <c r="D69" s="51"/>
      <c r="E69" s="43"/>
      <c r="F69" s="43"/>
      <c r="G69" s="43"/>
      <c r="H69" s="43"/>
      <c r="I69" s="49"/>
      <c r="J69" s="43"/>
      <c r="K69" s="43"/>
      <c r="L69" s="52"/>
      <c r="M69" s="53"/>
      <c r="N69" s="49"/>
      <c r="O69" s="49"/>
    </row>
    <row r="70" ht="15.75" customHeight="1">
      <c r="A70" s="50"/>
      <c r="B70" s="50"/>
      <c r="C70" s="51"/>
      <c r="D70" s="51"/>
      <c r="E70" s="43"/>
      <c r="F70" s="43"/>
      <c r="G70" s="43"/>
      <c r="H70" s="43"/>
      <c r="I70" s="49"/>
      <c r="J70" s="43"/>
      <c r="K70" s="43"/>
      <c r="L70" s="52"/>
      <c r="M70" s="53"/>
      <c r="N70" s="49"/>
      <c r="O70" s="49"/>
    </row>
    <row r="71" ht="15.75" customHeight="1">
      <c r="A71" s="50"/>
      <c r="B71" s="50"/>
      <c r="C71" s="51"/>
      <c r="D71" s="51"/>
      <c r="E71" s="43"/>
      <c r="F71" s="43"/>
      <c r="G71" s="43"/>
      <c r="H71" s="43"/>
      <c r="I71" s="49"/>
      <c r="J71" s="43"/>
      <c r="K71" s="43"/>
      <c r="L71" s="52"/>
      <c r="M71" s="53"/>
      <c r="N71" s="49"/>
      <c r="O71" s="49"/>
    </row>
    <row r="72" ht="15.75" customHeight="1">
      <c r="A72" s="50"/>
      <c r="B72" s="50"/>
      <c r="C72" s="51"/>
      <c r="D72" s="51"/>
      <c r="E72" s="43"/>
      <c r="F72" s="43"/>
      <c r="G72" s="43"/>
      <c r="H72" s="43"/>
      <c r="I72" s="49"/>
      <c r="J72" s="43"/>
      <c r="K72" s="43"/>
      <c r="L72" s="52"/>
      <c r="M72" s="53"/>
      <c r="N72" s="49"/>
      <c r="O72" s="49"/>
    </row>
    <row r="73" ht="15.75" customHeight="1">
      <c r="A73" s="50"/>
      <c r="B73" s="50"/>
      <c r="C73" s="51"/>
      <c r="D73" s="51"/>
      <c r="E73" s="43"/>
      <c r="F73" s="43"/>
      <c r="G73" s="43"/>
      <c r="H73" s="43"/>
      <c r="I73" s="49"/>
      <c r="J73" s="43"/>
      <c r="K73" s="43"/>
      <c r="L73" s="52"/>
      <c r="M73" s="53"/>
      <c r="N73" s="49"/>
      <c r="O73" s="49"/>
    </row>
    <row r="74" ht="15.75" customHeight="1">
      <c r="A74" s="50"/>
      <c r="B74" s="50"/>
      <c r="C74" s="51"/>
      <c r="D74" s="51"/>
      <c r="E74" s="43"/>
      <c r="F74" s="43"/>
      <c r="G74" s="43"/>
      <c r="H74" s="43"/>
      <c r="I74" s="49"/>
      <c r="J74" s="43"/>
      <c r="K74" s="43"/>
      <c r="L74" s="52"/>
      <c r="M74" s="53"/>
      <c r="N74" s="49"/>
      <c r="O74" s="49"/>
    </row>
    <row r="75" ht="15.75" customHeight="1">
      <c r="A75" s="50"/>
      <c r="B75" s="50"/>
      <c r="C75" s="51"/>
      <c r="D75" s="51"/>
      <c r="E75" s="43"/>
      <c r="F75" s="43"/>
      <c r="G75" s="43"/>
      <c r="H75" s="43"/>
      <c r="I75" s="49"/>
      <c r="J75" s="43"/>
      <c r="K75" s="43"/>
      <c r="L75" s="52"/>
      <c r="M75" s="53"/>
      <c r="N75" s="49"/>
      <c r="O75" s="49"/>
    </row>
    <row r="76" ht="15.75" customHeight="1">
      <c r="A76" s="50"/>
      <c r="B76" s="50"/>
      <c r="C76" s="51"/>
      <c r="D76" s="51"/>
      <c r="E76" s="43"/>
      <c r="F76" s="43"/>
      <c r="G76" s="43"/>
      <c r="H76" s="43"/>
      <c r="I76" s="49"/>
      <c r="J76" s="43"/>
      <c r="K76" s="43"/>
      <c r="L76" s="52"/>
      <c r="M76" s="53"/>
      <c r="N76" s="49"/>
      <c r="O76" s="49"/>
    </row>
    <row r="77" ht="15.75" customHeight="1">
      <c r="A77" s="50"/>
      <c r="B77" s="50"/>
      <c r="C77" s="51"/>
      <c r="D77" s="51"/>
      <c r="E77" s="43"/>
      <c r="F77" s="43"/>
      <c r="G77" s="43"/>
      <c r="H77" s="43"/>
      <c r="I77" s="49"/>
      <c r="J77" s="43"/>
      <c r="K77" s="43"/>
      <c r="L77" s="52"/>
      <c r="M77" s="53"/>
      <c r="N77" s="49"/>
      <c r="O77" s="49"/>
    </row>
    <row r="78" ht="15.75" customHeight="1">
      <c r="A78" s="50"/>
      <c r="B78" s="50"/>
      <c r="C78" s="51"/>
      <c r="D78" s="51"/>
      <c r="E78" s="43"/>
      <c r="F78" s="43"/>
      <c r="G78" s="43"/>
      <c r="H78" s="43"/>
      <c r="I78" s="49"/>
      <c r="J78" s="43"/>
      <c r="K78" s="43"/>
      <c r="L78" s="52"/>
      <c r="M78" s="53"/>
      <c r="N78" s="49"/>
      <c r="O78" s="49"/>
    </row>
    <row r="79" ht="15.75" customHeight="1">
      <c r="A79" s="50"/>
      <c r="B79" s="50"/>
      <c r="C79" s="51"/>
      <c r="D79" s="51"/>
      <c r="E79" s="43"/>
      <c r="F79" s="43"/>
      <c r="G79" s="43"/>
      <c r="H79" s="43"/>
      <c r="I79" s="49"/>
      <c r="J79" s="43"/>
      <c r="K79" s="43"/>
      <c r="L79" s="52"/>
      <c r="M79" s="53"/>
      <c r="N79" s="49"/>
      <c r="O79" s="49"/>
    </row>
    <row r="80" ht="15.75" customHeight="1">
      <c r="A80" s="50"/>
      <c r="B80" s="50"/>
      <c r="C80" s="51"/>
      <c r="D80" s="51"/>
      <c r="E80" s="43"/>
      <c r="F80" s="43"/>
      <c r="G80" s="43"/>
      <c r="H80" s="43"/>
      <c r="I80" s="49"/>
      <c r="J80" s="43"/>
      <c r="K80" s="43"/>
      <c r="L80" s="52"/>
      <c r="M80" s="53"/>
      <c r="N80" s="49"/>
      <c r="O80" s="49"/>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M1"/>
  </mergeCells>
  <conditionalFormatting sqref="J14:J43">
    <cfRule type="cellIs" dxfId="3" priority="1" operator="greaterThan">
      <formula>0</formula>
    </cfRule>
  </conditionalFormatting>
  <conditionalFormatting sqref="J14:J80">
    <cfRule type="expression" dxfId="1" priority="2">
      <formula>J14&gt;0</formula>
    </cfRule>
  </conditionalFormatting>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25.0"/>
    <col customWidth="1" min="3" max="4" width="9.0"/>
    <col customWidth="1" min="5" max="7" width="16.0"/>
    <col customWidth="1" min="8" max="10" width="13.0"/>
    <col customWidth="1" min="11" max="11" width="16.0"/>
    <col customWidth="1" min="12" max="12" width="13.0"/>
    <col customWidth="1" min="13" max="13" width="32.0"/>
    <col customWidth="1" min="14" max="15" width="16.0"/>
  </cols>
  <sheetData>
    <row r="1" ht="30.0" customHeight="1">
      <c r="A1" s="1" t="s">
        <v>127</v>
      </c>
      <c r="N1" s="2"/>
      <c r="O1" s="2"/>
    </row>
    <row r="2">
      <c r="A2" s="3"/>
      <c r="B2" s="3"/>
      <c r="C2" s="3"/>
      <c r="D2" s="3"/>
      <c r="E2" s="3"/>
      <c r="F2" s="3"/>
      <c r="G2" s="3"/>
      <c r="H2" s="3"/>
      <c r="I2" s="3"/>
      <c r="J2" s="3"/>
      <c r="K2" s="3"/>
      <c r="L2" s="3"/>
      <c r="M2" s="3"/>
      <c r="N2" s="3"/>
      <c r="O2" s="3"/>
    </row>
    <row r="3">
      <c r="A3" s="4" t="s">
        <v>95</v>
      </c>
      <c r="B3" s="4" t="s">
        <v>6</v>
      </c>
      <c r="C3" s="3"/>
      <c r="D3" s="4" t="s">
        <v>96</v>
      </c>
      <c r="E3" s="4" t="s">
        <v>6</v>
      </c>
      <c r="F3" s="3"/>
      <c r="G3" s="3"/>
      <c r="H3" s="3"/>
      <c r="I3" s="3"/>
      <c r="J3" s="3"/>
      <c r="K3" s="3"/>
      <c r="L3" s="3"/>
      <c r="M3" s="3"/>
      <c r="N3" s="3"/>
      <c r="O3" s="3"/>
    </row>
    <row r="4">
      <c r="A4" s="38" t="s">
        <v>10</v>
      </c>
      <c r="B4" s="39" t="str">
        <f>IF(DANH_MUC_LOP!B11="","",DANH_MUC_LOP!B11)</f>
        <v/>
      </c>
      <c r="C4" s="3"/>
      <c r="D4" s="40" t="s">
        <v>97</v>
      </c>
      <c r="E4" s="41">
        <f>SUM(J14:J43)</f>
        <v>0</v>
      </c>
      <c r="F4" s="3"/>
      <c r="G4" s="3"/>
      <c r="H4" s="3"/>
      <c r="I4" s="3"/>
      <c r="J4" s="3"/>
      <c r="K4" s="3"/>
      <c r="L4" s="3"/>
      <c r="M4" s="3"/>
      <c r="N4" s="3"/>
      <c r="O4" s="3"/>
    </row>
    <row r="5">
      <c r="A5" s="38" t="s">
        <v>19</v>
      </c>
      <c r="B5" s="39" t="str">
        <f>IF(DANH_MUC_LOP!C11="","",DANH_MUC_LOP!C11)</f>
        <v/>
      </c>
      <c r="C5" s="3"/>
      <c r="D5" s="40" t="s">
        <v>65</v>
      </c>
      <c r="E5" s="41">
        <f>SUM(K14:K43)</f>
        <v>0</v>
      </c>
      <c r="F5" s="3"/>
      <c r="G5" s="3"/>
      <c r="H5" s="3"/>
      <c r="I5" s="3"/>
      <c r="J5" s="3"/>
      <c r="K5" s="3"/>
      <c r="L5" s="3"/>
      <c r="M5" s="3"/>
      <c r="N5" s="3"/>
      <c r="O5" s="3"/>
    </row>
    <row r="6">
      <c r="A6" s="38" t="s">
        <v>98</v>
      </c>
      <c r="B6" s="39" t="str">
        <f>IFERROR(IF(DANH_MUC_LOP!R11&gt;0,DANH_MUC_LOP!R11,LOP_08!$B$16),0)</f>
        <v/>
      </c>
      <c r="C6" s="3"/>
      <c r="D6" s="40" t="s">
        <v>99</v>
      </c>
      <c r="E6" s="41">
        <f>IF(B4="",0,SUMIF(THUONG_HOC_SINH!$A$4:$A$83,B4,THUONG_HOC_SINH!$D$4:$D$83))</f>
        <v>0</v>
      </c>
      <c r="F6" s="3"/>
      <c r="G6" s="3"/>
      <c r="H6" s="3"/>
      <c r="I6" s="3"/>
      <c r="J6" s="3"/>
      <c r="K6" s="3"/>
      <c r="L6" s="3"/>
      <c r="M6" s="3"/>
      <c r="N6" s="3"/>
      <c r="O6" s="3"/>
    </row>
    <row r="7">
      <c r="A7" s="38" t="s">
        <v>23</v>
      </c>
      <c r="B7" s="41" t="str">
        <f>IF(DANH_MUC_LOP!B11="","",DANH_MUC_LOP!F11)</f>
        <v/>
      </c>
      <c r="C7" s="3"/>
      <c r="D7" s="42"/>
      <c r="E7" s="43"/>
      <c r="F7" s="3"/>
      <c r="G7" s="3"/>
      <c r="H7" s="3"/>
      <c r="I7" s="3"/>
      <c r="J7" s="3"/>
      <c r="K7" s="3"/>
      <c r="L7" s="3"/>
      <c r="M7" s="3"/>
      <c r="N7" s="3"/>
      <c r="O7" s="3"/>
    </row>
    <row r="8">
      <c r="A8" s="38" t="s">
        <v>31</v>
      </c>
      <c r="B8" s="39" t="str">
        <f>IF(DANH_MUC_LOP!B11="","",DANH_MUC_LOP!N11)</f>
        <v/>
      </c>
      <c r="C8" s="3"/>
      <c r="D8" s="42"/>
      <c r="E8" s="43"/>
      <c r="F8" s="3"/>
      <c r="G8" s="3"/>
      <c r="H8" s="3"/>
      <c r="I8" s="3"/>
      <c r="J8" s="3"/>
      <c r="K8" s="3"/>
      <c r="L8" s="3"/>
      <c r="M8" s="3"/>
      <c r="N8" s="3"/>
      <c r="O8" s="3"/>
    </row>
    <row r="9">
      <c r="A9" s="38" t="s">
        <v>100</v>
      </c>
      <c r="B9" s="39">
        <f>COUNTIF(A14:A43,"?*")</f>
        <v>0</v>
      </c>
      <c r="C9" s="3"/>
      <c r="D9" s="42"/>
      <c r="E9" s="43"/>
      <c r="F9" s="3"/>
      <c r="G9" s="3"/>
      <c r="H9" s="3"/>
      <c r="I9" s="3"/>
      <c r="J9" s="3"/>
      <c r="K9" s="3"/>
      <c r="L9" s="3"/>
      <c r="M9" s="3"/>
      <c r="N9" s="3"/>
      <c r="O9" s="3"/>
    </row>
    <row r="10">
      <c r="A10" s="38" t="s">
        <v>101</v>
      </c>
      <c r="B10" s="41">
        <f>SUM(H14:H43)</f>
        <v>0</v>
      </c>
      <c r="C10" s="3"/>
      <c r="D10" s="42"/>
      <c r="E10" s="43"/>
      <c r="F10" s="3"/>
      <c r="G10" s="3"/>
      <c r="H10" s="3"/>
      <c r="I10" s="3"/>
      <c r="J10" s="3"/>
      <c r="K10" s="3"/>
      <c r="L10" s="3"/>
      <c r="M10" s="3"/>
      <c r="N10" s="3"/>
      <c r="O10" s="3"/>
    </row>
    <row r="11">
      <c r="A11" s="38" t="s">
        <v>102</v>
      </c>
      <c r="B11" s="41">
        <f>SUM(I14:I43)</f>
        <v>0</v>
      </c>
      <c r="C11" s="3"/>
      <c r="D11" s="42"/>
      <c r="E11" s="43"/>
      <c r="F11" s="3"/>
      <c r="G11" s="3"/>
      <c r="H11" s="3"/>
      <c r="I11" s="3"/>
      <c r="J11" s="3"/>
      <c r="K11" s="3"/>
      <c r="L11" s="3"/>
      <c r="M11" s="3"/>
      <c r="N11" s="3"/>
      <c r="O11" s="3"/>
    </row>
    <row r="12">
      <c r="A12" s="3"/>
      <c r="B12" s="3"/>
      <c r="C12" s="3"/>
      <c r="D12" s="3"/>
      <c r="E12" s="3"/>
      <c r="F12" s="3"/>
      <c r="G12" s="3"/>
      <c r="H12" s="3"/>
      <c r="I12" s="3"/>
      <c r="J12" s="3"/>
      <c r="K12" s="3"/>
      <c r="L12" s="3"/>
      <c r="M12" s="3"/>
      <c r="N12" s="3"/>
      <c r="O12" s="3"/>
    </row>
    <row r="13" ht="27.75" customHeight="1">
      <c r="A13" s="5" t="s">
        <v>14</v>
      </c>
      <c r="B13" s="5" t="s">
        <v>16</v>
      </c>
      <c r="C13" s="5" t="s">
        <v>104</v>
      </c>
      <c r="D13" s="5" t="s">
        <v>105</v>
      </c>
      <c r="E13" s="5" t="s">
        <v>106</v>
      </c>
      <c r="F13" s="5" t="s">
        <v>107</v>
      </c>
      <c r="G13" s="5" t="s">
        <v>64</v>
      </c>
      <c r="H13" s="5" t="s">
        <v>108</v>
      </c>
      <c r="I13" s="5" t="s">
        <v>102</v>
      </c>
      <c r="J13" s="5" t="s">
        <v>97</v>
      </c>
      <c r="K13" s="5" t="s">
        <v>65</v>
      </c>
      <c r="L13" s="5" t="s">
        <v>109</v>
      </c>
      <c r="M13" s="5" t="s">
        <v>15</v>
      </c>
      <c r="N13" s="5" t="s">
        <v>110</v>
      </c>
      <c r="O13" s="5" t="s">
        <v>111</v>
      </c>
    </row>
    <row r="14">
      <c r="A14" s="45" t="str">
        <f>IFERROR(LOP_08!$A$21,"")</f>
        <v/>
      </c>
      <c r="B14" s="45" t="str">
        <f>IFERROR(LOP_08!$B$21,"")</f>
        <v/>
      </c>
      <c r="C14" s="46" t="str">
        <f>IFERROR(LOP_08!$AH$21,"")</f>
        <v/>
      </c>
      <c r="D14" s="46" t="str">
        <f>IFERROR(LOP_08!$AI$21,"")</f>
        <v/>
      </c>
      <c r="E14" s="41" t="str">
        <f t="shared" ref="E14:E43" si="1">IF(A14="","",$B$7)</f>
        <v/>
      </c>
      <c r="F14" s="41" t="str">
        <f t="shared" ref="F14:F43" si="2">IF(A14="","",IF($B$8="Thu trước",$B$6*E14,C14*E14))</f>
        <v/>
      </c>
      <c r="G14" s="41" t="str">
        <f>IF(A14="","",SUMIFS(CHUYEN_THANG!$D$4:$D$403,CHUYEN_THANG!$A$4:$A$403,$B$4,CHUYEN_THANG!$B$4:$B$403,A14))</f>
        <v/>
      </c>
      <c r="H14" s="41" t="str">
        <f t="shared" ref="H14:H43" si="3">IF(A14="","",IF(O14&lt;&gt;"",MAX(0,O14),MAX(0,F14-G14+N14)))</f>
        <v/>
      </c>
      <c r="I14" s="11"/>
      <c r="J14" s="41" t="str">
        <f t="shared" ref="J14:J43" si="4">IF(A14="","",MAX(0,H14-I14))</f>
        <v/>
      </c>
      <c r="K14" s="41" t="str">
        <f t="shared" ref="K14:K43" si="5">IF(A14="","",IF($B$8="Thu trước",D14*E14,0))</f>
        <v/>
      </c>
      <c r="L14" s="48"/>
      <c r="M14" s="9"/>
      <c r="N14" s="49"/>
      <c r="O14" s="49"/>
    </row>
    <row r="15">
      <c r="A15" s="45" t="str">
        <f>IFERROR(LOP_08!$A$22,"")</f>
        <v/>
      </c>
      <c r="B15" s="45" t="str">
        <f>IFERROR(LOP_08!$B$22,"")</f>
        <v/>
      </c>
      <c r="C15" s="46" t="str">
        <f>IFERROR(LOP_08!$AH$22,"")</f>
        <v/>
      </c>
      <c r="D15" s="46" t="str">
        <f>IFERROR(LOP_08!$AI$22,"")</f>
        <v/>
      </c>
      <c r="E15" s="41" t="str">
        <f t="shared" si="1"/>
        <v/>
      </c>
      <c r="F15" s="41" t="str">
        <f t="shared" si="2"/>
        <v/>
      </c>
      <c r="G15" s="41" t="str">
        <f>IF(A15="","",SUMIFS(CHUYEN_THANG!$D$4:$D$403,CHUYEN_THANG!$A$4:$A$403,$B$4,CHUYEN_THANG!$B$4:$B$403,A15))</f>
        <v/>
      </c>
      <c r="H15" s="41" t="str">
        <f t="shared" si="3"/>
        <v/>
      </c>
      <c r="I15" s="11"/>
      <c r="J15" s="41" t="str">
        <f t="shared" si="4"/>
        <v/>
      </c>
      <c r="K15" s="41" t="str">
        <f t="shared" si="5"/>
        <v/>
      </c>
      <c r="L15" s="48"/>
      <c r="M15" s="9"/>
      <c r="N15" s="49"/>
      <c r="O15" s="49"/>
    </row>
    <row r="16">
      <c r="A16" s="45" t="str">
        <f>IFERROR(LOP_08!$A$23,"")</f>
        <v/>
      </c>
      <c r="B16" s="45" t="str">
        <f>IFERROR(LOP_08!$B$23,"")</f>
        <v/>
      </c>
      <c r="C16" s="46" t="str">
        <f>IFERROR(LOP_08!$AH$23,"")</f>
        <v/>
      </c>
      <c r="D16" s="46" t="str">
        <f>IFERROR(LOP_08!$AI$23,"")</f>
        <v/>
      </c>
      <c r="E16" s="41" t="str">
        <f t="shared" si="1"/>
        <v/>
      </c>
      <c r="F16" s="41" t="str">
        <f t="shared" si="2"/>
        <v/>
      </c>
      <c r="G16" s="41" t="str">
        <f>IF(A16="","",SUMIFS(CHUYEN_THANG!$D$4:$D$403,CHUYEN_THANG!$A$4:$A$403,$B$4,CHUYEN_THANG!$B$4:$B$403,A16))</f>
        <v/>
      </c>
      <c r="H16" s="41" t="str">
        <f t="shared" si="3"/>
        <v/>
      </c>
      <c r="I16" s="11"/>
      <c r="J16" s="41" t="str">
        <f t="shared" si="4"/>
        <v/>
      </c>
      <c r="K16" s="41" t="str">
        <f t="shared" si="5"/>
        <v/>
      </c>
      <c r="L16" s="48"/>
      <c r="M16" s="9"/>
      <c r="N16" s="49"/>
      <c r="O16" s="49"/>
    </row>
    <row r="17">
      <c r="A17" s="45" t="str">
        <f>IFERROR(LOP_08!$A$24,"")</f>
        <v/>
      </c>
      <c r="B17" s="45" t="str">
        <f>IFERROR(LOP_08!$B$24,"")</f>
        <v/>
      </c>
      <c r="C17" s="46" t="str">
        <f>IFERROR(LOP_08!$AH$24,"")</f>
        <v/>
      </c>
      <c r="D17" s="46" t="str">
        <f>IFERROR(LOP_08!$AI$24,"")</f>
        <v/>
      </c>
      <c r="E17" s="41" t="str">
        <f t="shared" si="1"/>
        <v/>
      </c>
      <c r="F17" s="41" t="str">
        <f t="shared" si="2"/>
        <v/>
      </c>
      <c r="G17" s="41" t="str">
        <f>IF(A17="","",SUMIFS(CHUYEN_THANG!$D$4:$D$403,CHUYEN_THANG!$A$4:$A$403,$B$4,CHUYEN_THANG!$B$4:$B$403,A17))</f>
        <v/>
      </c>
      <c r="H17" s="41" t="str">
        <f t="shared" si="3"/>
        <v/>
      </c>
      <c r="I17" s="11"/>
      <c r="J17" s="41" t="str">
        <f t="shared" si="4"/>
        <v/>
      </c>
      <c r="K17" s="41" t="str">
        <f t="shared" si="5"/>
        <v/>
      </c>
      <c r="L17" s="48"/>
      <c r="M17" s="9"/>
      <c r="N17" s="49"/>
      <c r="O17" s="49"/>
    </row>
    <row r="18">
      <c r="A18" s="45" t="str">
        <f>IFERROR(LOP_08!$A$25,"")</f>
        <v/>
      </c>
      <c r="B18" s="45" t="str">
        <f>IFERROR(LOP_08!$B$25,"")</f>
        <v/>
      </c>
      <c r="C18" s="46" t="str">
        <f>IFERROR(LOP_08!$AH$25,"")</f>
        <v/>
      </c>
      <c r="D18" s="46" t="str">
        <f>IFERROR(LOP_08!$AI$25,"")</f>
        <v/>
      </c>
      <c r="E18" s="41" t="str">
        <f t="shared" si="1"/>
        <v/>
      </c>
      <c r="F18" s="41" t="str">
        <f t="shared" si="2"/>
        <v/>
      </c>
      <c r="G18" s="41" t="str">
        <f>IF(A18="","",SUMIFS(CHUYEN_THANG!$D$4:$D$403,CHUYEN_THANG!$A$4:$A$403,$B$4,CHUYEN_THANG!$B$4:$B$403,A18))</f>
        <v/>
      </c>
      <c r="H18" s="41" t="str">
        <f t="shared" si="3"/>
        <v/>
      </c>
      <c r="I18" s="11"/>
      <c r="J18" s="41" t="str">
        <f t="shared" si="4"/>
        <v/>
      </c>
      <c r="K18" s="41" t="str">
        <f t="shared" si="5"/>
        <v/>
      </c>
      <c r="L18" s="48"/>
      <c r="M18" s="9"/>
      <c r="N18" s="49"/>
      <c r="O18" s="49"/>
    </row>
    <row r="19">
      <c r="A19" s="45" t="str">
        <f>IFERROR(LOP_08!$A$26,"")</f>
        <v/>
      </c>
      <c r="B19" s="45" t="str">
        <f>IFERROR(LOP_08!$B$26,"")</f>
        <v/>
      </c>
      <c r="C19" s="46" t="str">
        <f>IFERROR(LOP_08!$AH$26,"")</f>
        <v/>
      </c>
      <c r="D19" s="46" t="str">
        <f>IFERROR(LOP_08!$AI$26,"")</f>
        <v/>
      </c>
      <c r="E19" s="41" t="str">
        <f t="shared" si="1"/>
        <v/>
      </c>
      <c r="F19" s="41" t="str">
        <f t="shared" si="2"/>
        <v/>
      </c>
      <c r="G19" s="41" t="str">
        <f>IF(A19="","",SUMIFS(CHUYEN_THANG!$D$4:$D$403,CHUYEN_THANG!$A$4:$A$403,$B$4,CHUYEN_THANG!$B$4:$B$403,A19))</f>
        <v/>
      </c>
      <c r="H19" s="41" t="str">
        <f t="shared" si="3"/>
        <v/>
      </c>
      <c r="I19" s="11"/>
      <c r="J19" s="41" t="str">
        <f t="shared" si="4"/>
        <v/>
      </c>
      <c r="K19" s="41" t="str">
        <f t="shared" si="5"/>
        <v/>
      </c>
      <c r="L19" s="48"/>
      <c r="M19" s="9"/>
      <c r="N19" s="49"/>
      <c r="O19" s="49"/>
    </row>
    <row r="20">
      <c r="A20" s="45" t="str">
        <f>IFERROR(LOP_08!$A$27,"")</f>
        <v/>
      </c>
      <c r="B20" s="45" t="str">
        <f>IFERROR(LOP_08!$B$27,"")</f>
        <v/>
      </c>
      <c r="C20" s="46" t="str">
        <f>IFERROR(LOP_08!$AH$27,"")</f>
        <v/>
      </c>
      <c r="D20" s="46" t="str">
        <f>IFERROR(LOP_08!$AI$27,"")</f>
        <v/>
      </c>
      <c r="E20" s="41" t="str">
        <f t="shared" si="1"/>
        <v/>
      </c>
      <c r="F20" s="41" t="str">
        <f t="shared" si="2"/>
        <v/>
      </c>
      <c r="G20" s="41" t="str">
        <f>IF(A20="","",SUMIFS(CHUYEN_THANG!$D$4:$D$403,CHUYEN_THANG!$A$4:$A$403,$B$4,CHUYEN_THANG!$B$4:$B$403,A20))</f>
        <v/>
      </c>
      <c r="H20" s="41" t="str">
        <f t="shared" si="3"/>
        <v/>
      </c>
      <c r="I20" s="11"/>
      <c r="J20" s="41" t="str">
        <f t="shared" si="4"/>
        <v/>
      </c>
      <c r="K20" s="41" t="str">
        <f t="shared" si="5"/>
        <v/>
      </c>
      <c r="L20" s="48"/>
      <c r="M20" s="9"/>
      <c r="N20" s="49"/>
      <c r="O20" s="49"/>
    </row>
    <row r="21" ht="15.75" customHeight="1">
      <c r="A21" s="45" t="str">
        <f>IFERROR(LOP_08!$A$28,"")</f>
        <v/>
      </c>
      <c r="B21" s="45" t="str">
        <f>IFERROR(LOP_08!$B$28,"")</f>
        <v/>
      </c>
      <c r="C21" s="46" t="str">
        <f>IFERROR(LOP_08!$AH$28,"")</f>
        <v/>
      </c>
      <c r="D21" s="46" t="str">
        <f>IFERROR(LOP_08!$AI$28,"")</f>
        <v/>
      </c>
      <c r="E21" s="41" t="str">
        <f t="shared" si="1"/>
        <v/>
      </c>
      <c r="F21" s="41" t="str">
        <f t="shared" si="2"/>
        <v/>
      </c>
      <c r="G21" s="41" t="str">
        <f>IF(A21="","",SUMIFS(CHUYEN_THANG!$D$4:$D$403,CHUYEN_THANG!$A$4:$A$403,$B$4,CHUYEN_THANG!$B$4:$B$403,A21))</f>
        <v/>
      </c>
      <c r="H21" s="41" t="str">
        <f t="shared" si="3"/>
        <v/>
      </c>
      <c r="I21" s="11"/>
      <c r="J21" s="41" t="str">
        <f t="shared" si="4"/>
        <v/>
      </c>
      <c r="K21" s="41" t="str">
        <f t="shared" si="5"/>
        <v/>
      </c>
      <c r="L21" s="48"/>
      <c r="M21" s="9"/>
      <c r="N21" s="49"/>
      <c r="O21" s="49"/>
    </row>
    <row r="22" ht="15.75" customHeight="1">
      <c r="A22" s="45" t="str">
        <f>IFERROR(LOP_08!$A$29,"")</f>
        <v/>
      </c>
      <c r="B22" s="45" t="str">
        <f>IFERROR(LOP_08!$B$29,"")</f>
        <v/>
      </c>
      <c r="C22" s="46" t="str">
        <f>IFERROR(LOP_08!$AH$29,"")</f>
        <v/>
      </c>
      <c r="D22" s="46" t="str">
        <f>IFERROR(LOP_08!$AI$29,"")</f>
        <v/>
      </c>
      <c r="E22" s="41" t="str">
        <f t="shared" si="1"/>
        <v/>
      </c>
      <c r="F22" s="41" t="str">
        <f t="shared" si="2"/>
        <v/>
      </c>
      <c r="G22" s="41" t="str">
        <f>IF(A22="","",SUMIFS(CHUYEN_THANG!$D$4:$D$403,CHUYEN_THANG!$A$4:$A$403,$B$4,CHUYEN_THANG!$B$4:$B$403,A22))</f>
        <v/>
      </c>
      <c r="H22" s="41" t="str">
        <f t="shared" si="3"/>
        <v/>
      </c>
      <c r="I22" s="11"/>
      <c r="J22" s="41" t="str">
        <f t="shared" si="4"/>
        <v/>
      </c>
      <c r="K22" s="41" t="str">
        <f t="shared" si="5"/>
        <v/>
      </c>
      <c r="L22" s="48"/>
      <c r="M22" s="9"/>
      <c r="N22" s="49"/>
      <c r="O22" s="49"/>
    </row>
    <row r="23" ht="15.75" customHeight="1">
      <c r="A23" s="45" t="str">
        <f>IFERROR(LOP_08!$A$30,"")</f>
        <v/>
      </c>
      <c r="B23" s="45" t="str">
        <f>IFERROR(LOP_08!$B$30,"")</f>
        <v/>
      </c>
      <c r="C23" s="46" t="str">
        <f>IFERROR(LOP_08!$AH$30,"")</f>
        <v/>
      </c>
      <c r="D23" s="46" t="str">
        <f>IFERROR(LOP_08!$AI$30,"")</f>
        <v/>
      </c>
      <c r="E23" s="41" t="str">
        <f t="shared" si="1"/>
        <v/>
      </c>
      <c r="F23" s="41" t="str">
        <f t="shared" si="2"/>
        <v/>
      </c>
      <c r="G23" s="41" t="str">
        <f>IF(A23="","",SUMIFS(CHUYEN_THANG!$D$4:$D$403,CHUYEN_THANG!$A$4:$A$403,$B$4,CHUYEN_THANG!$B$4:$B$403,A23))</f>
        <v/>
      </c>
      <c r="H23" s="41" t="str">
        <f t="shared" si="3"/>
        <v/>
      </c>
      <c r="I23" s="11"/>
      <c r="J23" s="41" t="str">
        <f t="shared" si="4"/>
        <v/>
      </c>
      <c r="K23" s="41" t="str">
        <f t="shared" si="5"/>
        <v/>
      </c>
      <c r="L23" s="48"/>
      <c r="M23" s="9"/>
      <c r="N23" s="49"/>
      <c r="O23" s="49"/>
    </row>
    <row r="24" ht="15.75" customHeight="1">
      <c r="A24" s="45" t="str">
        <f>IFERROR(LOP_08!$A$31,"")</f>
        <v/>
      </c>
      <c r="B24" s="45" t="str">
        <f>IFERROR(LOP_08!$B$31,"")</f>
        <v/>
      </c>
      <c r="C24" s="46" t="str">
        <f>IFERROR(LOP_08!$AH$31,"")</f>
        <v/>
      </c>
      <c r="D24" s="46" t="str">
        <f>IFERROR(LOP_08!$AI$31,"")</f>
        <v/>
      </c>
      <c r="E24" s="41" t="str">
        <f t="shared" si="1"/>
        <v/>
      </c>
      <c r="F24" s="41" t="str">
        <f t="shared" si="2"/>
        <v/>
      </c>
      <c r="G24" s="41" t="str">
        <f>IF(A24="","",SUMIFS(CHUYEN_THANG!$D$4:$D$403,CHUYEN_THANG!$A$4:$A$403,$B$4,CHUYEN_THANG!$B$4:$B$403,A24))</f>
        <v/>
      </c>
      <c r="H24" s="41" t="str">
        <f t="shared" si="3"/>
        <v/>
      </c>
      <c r="I24" s="11"/>
      <c r="J24" s="41" t="str">
        <f t="shared" si="4"/>
        <v/>
      </c>
      <c r="K24" s="41" t="str">
        <f t="shared" si="5"/>
        <v/>
      </c>
      <c r="L24" s="48"/>
      <c r="M24" s="9"/>
      <c r="N24" s="49"/>
      <c r="O24" s="49"/>
    </row>
    <row r="25" ht="15.75" customHeight="1">
      <c r="A25" s="45" t="str">
        <f>IFERROR(LOP_08!$A$32,"")</f>
        <v/>
      </c>
      <c r="B25" s="45" t="str">
        <f>IFERROR(LOP_08!$B$32,"")</f>
        <v/>
      </c>
      <c r="C25" s="46" t="str">
        <f>IFERROR(LOP_08!$AH$32,"")</f>
        <v/>
      </c>
      <c r="D25" s="46" t="str">
        <f>IFERROR(LOP_08!$AI$32,"")</f>
        <v/>
      </c>
      <c r="E25" s="41" t="str">
        <f t="shared" si="1"/>
        <v/>
      </c>
      <c r="F25" s="41" t="str">
        <f t="shared" si="2"/>
        <v/>
      </c>
      <c r="G25" s="41" t="str">
        <f>IF(A25="","",SUMIFS(CHUYEN_THANG!$D$4:$D$403,CHUYEN_THANG!$A$4:$A$403,$B$4,CHUYEN_THANG!$B$4:$B$403,A25))</f>
        <v/>
      </c>
      <c r="H25" s="41" t="str">
        <f t="shared" si="3"/>
        <v/>
      </c>
      <c r="I25" s="11"/>
      <c r="J25" s="41" t="str">
        <f t="shared" si="4"/>
        <v/>
      </c>
      <c r="K25" s="41" t="str">
        <f t="shared" si="5"/>
        <v/>
      </c>
      <c r="L25" s="48"/>
      <c r="M25" s="9"/>
      <c r="N25" s="49"/>
      <c r="O25" s="49"/>
    </row>
    <row r="26" ht="15.75" customHeight="1">
      <c r="A26" s="45" t="str">
        <f>IFERROR(LOP_08!$A$33,"")</f>
        <v/>
      </c>
      <c r="B26" s="45" t="str">
        <f>IFERROR(LOP_08!$B$33,"")</f>
        <v/>
      </c>
      <c r="C26" s="46" t="str">
        <f>IFERROR(LOP_08!$AH$33,"")</f>
        <v/>
      </c>
      <c r="D26" s="46" t="str">
        <f>IFERROR(LOP_08!$AI$33,"")</f>
        <v/>
      </c>
      <c r="E26" s="41" t="str">
        <f t="shared" si="1"/>
        <v/>
      </c>
      <c r="F26" s="41" t="str">
        <f t="shared" si="2"/>
        <v/>
      </c>
      <c r="G26" s="41" t="str">
        <f>IF(A26="","",SUMIFS(CHUYEN_THANG!$D$4:$D$403,CHUYEN_THANG!$A$4:$A$403,$B$4,CHUYEN_THANG!$B$4:$B$403,A26))</f>
        <v/>
      </c>
      <c r="H26" s="41" t="str">
        <f t="shared" si="3"/>
        <v/>
      </c>
      <c r="I26" s="11"/>
      <c r="J26" s="41" t="str">
        <f t="shared" si="4"/>
        <v/>
      </c>
      <c r="K26" s="41" t="str">
        <f t="shared" si="5"/>
        <v/>
      </c>
      <c r="L26" s="48"/>
      <c r="M26" s="9"/>
      <c r="N26" s="49"/>
      <c r="O26" s="49"/>
    </row>
    <row r="27" ht="15.75" customHeight="1">
      <c r="A27" s="45" t="str">
        <f>IFERROR(LOP_08!$A$34,"")</f>
        <v/>
      </c>
      <c r="B27" s="45" t="str">
        <f>IFERROR(LOP_08!$B$34,"")</f>
        <v/>
      </c>
      <c r="C27" s="46" t="str">
        <f>IFERROR(LOP_08!$AH$34,"")</f>
        <v/>
      </c>
      <c r="D27" s="46" t="str">
        <f>IFERROR(LOP_08!$AI$34,"")</f>
        <v/>
      </c>
      <c r="E27" s="41" t="str">
        <f t="shared" si="1"/>
        <v/>
      </c>
      <c r="F27" s="41" t="str">
        <f t="shared" si="2"/>
        <v/>
      </c>
      <c r="G27" s="41" t="str">
        <f>IF(A27="","",SUMIFS(CHUYEN_THANG!$D$4:$D$403,CHUYEN_THANG!$A$4:$A$403,$B$4,CHUYEN_THANG!$B$4:$B$403,A27))</f>
        <v/>
      </c>
      <c r="H27" s="41" t="str">
        <f t="shared" si="3"/>
        <v/>
      </c>
      <c r="I27" s="11"/>
      <c r="J27" s="41" t="str">
        <f t="shared" si="4"/>
        <v/>
      </c>
      <c r="K27" s="41" t="str">
        <f t="shared" si="5"/>
        <v/>
      </c>
      <c r="L27" s="48"/>
      <c r="M27" s="9"/>
      <c r="N27" s="49"/>
      <c r="O27" s="49"/>
    </row>
    <row r="28" ht="15.75" customHeight="1">
      <c r="A28" s="45" t="str">
        <f>IFERROR(LOP_08!$A$35,"")</f>
        <v/>
      </c>
      <c r="B28" s="45" t="str">
        <f>IFERROR(LOP_08!$B$35,"")</f>
        <v/>
      </c>
      <c r="C28" s="46" t="str">
        <f>IFERROR(LOP_08!$AH$35,"")</f>
        <v/>
      </c>
      <c r="D28" s="46" t="str">
        <f>IFERROR(LOP_08!$AI$35,"")</f>
        <v/>
      </c>
      <c r="E28" s="41" t="str">
        <f t="shared" si="1"/>
        <v/>
      </c>
      <c r="F28" s="41" t="str">
        <f t="shared" si="2"/>
        <v/>
      </c>
      <c r="G28" s="41" t="str">
        <f>IF(A28="","",SUMIFS(CHUYEN_THANG!$D$4:$D$403,CHUYEN_THANG!$A$4:$A$403,$B$4,CHUYEN_THANG!$B$4:$B$403,A28))</f>
        <v/>
      </c>
      <c r="H28" s="41" t="str">
        <f t="shared" si="3"/>
        <v/>
      </c>
      <c r="I28" s="11"/>
      <c r="J28" s="41" t="str">
        <f t="shared" si="4"/>
        <v/>
      </c>
      <c r="K28" s="41" t="str">
        <f t="shared" si="5"/>
        <v/>
      </c>
      <c r="L28" s="48"/>
      <c r="M28" s="9"/>
      <c r="N28" s="49"/>
      <c r="O28" s="49"/>
    </row>
    <row r="29" ht="15.75" customHeight="1">
      <c r="A29" s="45" t="str">
        <f>IFERROR(LOP_08!$A$36,"")</f>
        <v/>
      </c>
      <c r="B29" s="45" t="str">
        <f>IFERROR(LOP_08!$B$36,"")</f>
        <v/>
      </c>
      <c r="C29" s="46" t="str">
        <f>IFERROR(LOP_08!$AH$36,"")</f>
        <v/>
      </c>
      <c r="D29" s="46" t="str">
        <f>IFERROR(LOP_08!$AI$36,"")</f>
        <v/>
      </c>
      <c r="E29" s="41" t="str">
        <f t="shared" si="1"/>
        <v/>
      </c>
      <c r="F29" s="41" t="str">
        <f t="shared" si="2"/>
        <v/>
      </c>
      <c r="G29" s="41" t="str">
        <f>IF(A29="","",SUMIFS(CHUYEN_THANG!$D$4:$D$403,CHUYEN_THANG!$A$4:$A$403,$B$4,CHUYEN_THANG!$B$4:$B$403,A29))</f>
        <v/>
      </c>
      <c r="H29" s="41" t="str">
        <f t="shared" si="3"/>
        <v/>
      </c>
      <c r="I29" s="11"/>
      <c r="J29" s="41" t="str">
        <f t="shared" si="4"/>
        <v/>
      </c>
      <c r="K29" s="41" t="str">
        <f t="shared" si="5"/>
        <v/>
      </c>
      <c r="L29" s="48"/>
      <c r="M29" s="9"/>
      <c r="N29" s="49"/>
      <c r="O29" s="49"/>
    </row>
    <row r="30" ht="15.75" customHeight="1">
      <c r="A30" s="45" t="str">
        <f>IFERROR(LOP_08!$A$37,"")</f>
        <v/>
      </c>
      <c r="B30" s="45" t="str">
        <f>IFERROR(LOP_08!$B$37,"")</f>
        <v/>
      </c>
      <c r="C30" s="46" t="str">
        <f>IFERROR(LOP_08!$AH$37,"")</f>
        <v/>
      </c>
      <c r="D30" s="46" t="str">
        <f>IFERROR(LOP_08!$AI$37,"")</f>
        <v/>
      </c>
      <c r="E30" s="41" t="str">
        <f t="shared" si="1"/>
        <v/>
      </c>
      <c r="F30" s="41" t="str">
        <f t="shared" si="2"/>
        <v/>
      </c>
      <c r="G30" s="41" t="str">
        <f>IF(A30="","",SUMIFS(CHUYEN_THANG!$D$4:$D$403,CHUYEN_THANG!$A$4:$A$403,$B$4,CHUYEN_THANG!$B$4:$B$403,A30))</f>
        <v/>
      </c>
      <c r="H30" s="41" t="str">
        <f t="shared" si="3"/>
        <v/>
      </c>
      <c r="I30" s="11"/>
      <c r="J30" s="41" t="str">
        <f t="shared" si="4"/>
        <v/>
      </c>
      <c r="K30" s="41" t="str">
        <f t="shared" si="5"/>
        <v/>
      </c>
      <c r="L30" s="48"/>
      <c r="M30" s="9"/>
      <c r="N30" s="49"/>
      <c r="O30" s="49"/>
    </row>
    <row r="31" ht="15.75" customHeight="1">
      <c r="A31" s="45" t="str">
        <f>IFERROR(LOP_08!$A$38,"")</f>
        <v/>
      </c>
      <c r="B31" s="45" t="str">
        <f>IFERROR(LOP_08!$B$38,"")</f>
        <v/>
      </c>
      <c r="C31" s="46" t="str">
        <f>IFERROR(LOP_08!$AH$38,"")</f>
        <v/>
      </c>
      <c r="D31" s="46" t="str">
        <f>IFERROR(LOP_08!$AI$38,"")</f>
        <v/>
      </c>
      <c r="E31" s="41" t="str">
        <f t="shared" si="1"/>
        <v/>
      </c>
      <c r="F31" s="41" t="str">
        <f t="shared" si="2"/>
        <v/>
      </c>
      <c r="G31" s="41" t="str">
        <f>IF(A31="","",SUMIFS(CHUYEN_THANG!$D$4:$D$403,CHUYEN_THANG!$A$4:$A$403,$B$4,CHUYEN_THANG!$B$4:$B$403,A31))</f>
        <v/>
      </c>
      <c r="H31" s="41" t="str">
        <f t="shared" si="3"/>
        <v/>
      </c>
      <c r="I31" s="11"/>
      <c r="J31" s="41" t="str">
        <f t="shared" si="4"/>
        <v/>
      </c>
      <c r="K31" s="41" t="str">
        <f t="shared" si="5"/>
        <v/>
      </c>
      <c r="L31" s="48"/>
      <c r="M31" s="9"/>
      <c r="N31" s="49"/>
      <c r="O31" s="49"/>
    </row>
    <row r="32" ht="15.75" customHeight="1">
      <c r="A32" s="45" t="str">
        <f>IFERROR(LOP_08!$A$39,"")</f>
        <v/>
      </c>
      <c r="B32" s="45" t="str">
        <f>IFERROR(LOP_08!$B$39,"")</f>
        <v/>
      </c>
      <c r="C32" s="46" t="str">
        <f>IFERROR(LOP_08!$AH$39,"")</f>
        <v/>
      </c>
      <c r="D32" s="46" t="str">
        <f>IFERROR(LOP_08!$AI$39,"")</f>
        <v/>
      </c>
      <c r="E32" s="41" t="str">
        <f t="shared" si="1"/>
        <v/>
      </c>
      <c r="F32" s="41" t="str">
        <f t="shared" si="2"/>
        <v/>
      </c>
      <c r="G32" s="41" t="str">
        <f>IF(A32="","",SUMIFS(CHUYEN_THANG!$D$4:$D$403,CHUYEN_THANG!$A$4:$A$403,$B$4,CHUYEN_THANG!$B$4:$B$403,A32))</f>
        <v/>
      </c>
      <c r="H32" s="41" t="str">
        <f t="shared" si="3"/>
        <v/>
      </c>
      <c r="I32" s="11"/>
      <c r="J32" s="41" t="str">
        <f t="shared" si="4"/>
        <v/>
      </c>
      <c r="K32" s="41" t="str">
        <f t="shared" si="5"/>
        <v/>
      </c>
      <c r="L32" s="48"/>
      <c r="M32" s="9"/>
      <c r="N32" s="49"/>
      <c r="O32" s="49"/>
    </row>
    <row r="33" ht="15.75" customHeight="1">
      <c r="A33" s="45" t="str">
        <f>IFERROR(LOP_08!$A$40,"")</f>
        <v/>
      </c>
      <c r="B33" s="45" t="str">
        <f>IFERROR(LOP_08!$B$40,"")</f>
        <v/>
      </c>
      <c r="C33" s="46" t="str">
        <f>IFERROR(LOP_08!$AH$40,"")</f>
        <v/>
      </c>
      <c r="D33" s="46" t="str">
        <f>IFERROR(LOP_08!$AI$40,"")</f>
        <v/>
      </c>
      <c r="E33" s="41" t="str">
        <f t="shared" si="1"/>
        <v/>
      </c>
      <c r="F33" s="41" t="str">
        <f t="shared" si="2"/>
        <v/>
      </c>
      <c r="G33" s="41" t="str">
        <f>IF(A33="","",SUMIFS(CHUYEN_THANG!$D$4:$D$403,CHUYEN_THANG!$A$4:$A$403,$B$4,CHUYEN_THANG!$B$4:$B$403,A33))</f>
        <v/>
      </c>
      <c r="H33" s="41" t="str">
        <f t="shared" si="3"/>
        <v/>
      </c>
      <c r="I33" s="11"/>
      <c r="J33" s="41" t="str">
        <f t="shared" si="4"/>
        <v/>
      </c>
      <c r="K33" s="41" t="str">
        <f t="shared" si="5"/>
        <v/>
      </c>
      <c r="L33" s="48"/>
      <c r="M33" s="9"/>
      <c r="N33" s="49"/>
      <c r="O33" s="49"/>
    </row>
    <row r="34" ht="15.75" customHeight="1">
      <c r="A34" s="45" t="str">
        <f>IFERROR(LOP_08!$A$41,"")</f>
        <v/>
      </c>
      <c r="B34" s="45" t="str">
        <f>IFERROR(LOP_08!$B$41,"")</f>
        <v/>
      </c>
      <c r="C34" s="46" t="str">
        <f>IFERROR(LOP_08!$AH$41,"")</f>
        <v/>
      </c>
      <c r="D34" s="46" t="str">
        <f>IFERROR(LOP_08!$AI$41,"")</f>
        <v/>
      </c>
      <c r="E34" s="41" t="str">
        <f t="shared" si="1"/>
        <v/>
      </c>
      <c r="F34" s="41" t="str">
        <f t="shared" si="2"/>
        <v/>
      </c>
      <c r="G34" s="41" t="str">
        <f>IF(A34="","",SUMIFS(CHUYEN_THANG!$D$4:$D$403,CHUYEN_THANG!$A$4:$A$403,$B$4,CHUYEN_THANG!$B$4:$B$403,A34))</f>
        <v/>
      </c>
      <c r="H34" s="41" t="str">
        <f t="shared" si="3"/>
        <v/>
      </c>
      <c r="I34" s="11"/>
      <c r="J34" s="41" t="str">
        <f t="shared" si="4"/>
        <v/>
      </c>
      <c r="K34" s="41" t="str">
        <f t="shared" si="5"/>
        <v/>
      </c>
      <c r="L34" s="48"/>
      <c r="M34" s="9"/>
      <c r="N34" s="49"/>
      <c r="O34" s="49"/>
    </row>
    <row r="35" ht="15.75" customHeight="1">
      <c r="A35" s="45" t="str">
        <f>IFERROR(LOP_08!$A$42,"")</f>
        <v/>
      </c>
      <c r="B35" s="45" t="str">
        <f>IFERROR(LOP_08!$B$42,"")</f>
        <v/>
      </c>
      <c r="C35" s="46" t="str">
        <f>IFERROR(LOP_08!$AH$42,"")</f>
        <v/>
      </c>
      <c r="D35" s="46" t="str">
        <f>IFERROR(LOP_08!$AI$42,"")</f>
        <v/>
      </c>
      <c r="E35" s="41" t="str">
        <f t="shared" si="1"/>
        <v/>
      </c>
      <c r="F35" s="41" t="str">
        <f t="shared" si="2"/>
        <v/>
      </c>
      <c r="G35" s="41" t="str">
        <f>IF(A35="","",SUMIFS(CHUYEN_THANG!$D$4:$D$403,CHUYEN_THANG!$A$4:$A$403,$B$4,CHUYEN_THANG!$B$4:$B$403,A35))</f>
        <v/>
      </c>
      <c r="H35" s="41" t="str">
        <f t="shared" si="3"/>
        <v/>
      </c>
      <c r="I35" s="11"/>
      <c r="J35" s="41" t="str">
        <f t="shared" si="4"/>
        <v/>
      </c>
      <c r="K35" s="41" t="str">
        <f t="shared" si="5"/>
        <v/>
      </c>
      <c r="L35" s="48"/>
      <c r="M35" s="9"/>
      <c r="N35" s="49"/>
      <c r="O35" s="49"/>
    </row>
    <row r="36" ht="15.75" customHeight="1">
      <c r="A36" s="45" t="str">
        <f>IFERROR(LOP_08!$A$43,"")</f>
        <v/>
      </c>
      <c r="B36" s="45" t="str">
        <f>IFERROR(LOP_08!$B$43,"")</f>
        <v/>
      </c>
      <c r="C36" s="46" t="str">
        <f>IFERROR(LOP_08!$AH$43,"")</f>
        <v/>
      </c>
      <c r="D36" s="46" t="str">
        <f>IFERROR(LOP_08!$AI$43,"")</f>
        <v/>
      </c>
      <c r="E36" s="41" t="str">
        <f t="shared" si="1"/>
        <v/>
      </c>
      <c r="F36" s="41" t="str">
        <f t="shared" si="2"/>
        <v/>
      </c>
      <c r="G36" s="41" t="str">
        <f>IF(A36="","",SUMIFS(CHUYEN_THANG!$D$4:$D$403,CHUYEN_THANG!$A$4:$A$403,$B$4,CHUYEN_THANG!$B$4:$B$403,A36))</f>
        <v/>
      </c>
      <c r="H36" s="41" t="str">
        <f t="shared" si="3"/>
        <v/>
      </c>
      <c r="I36" s="11"/>
      <c r="J36" s="41" t="str">
        <f t="shared" si="4"/>
        <v/>
      </c>
      <c r="K36" s="41" t="str">
        <f t="shared" si="5"/>
        <v/>
      </c>
      <c r="L36" s="48"/>
      <c r="M36" s="9"/>
      <c r="N36" s="49"/>
      <c r="O36" s="49"/>
    </row>
    <row r="37" ht="15.75" customHeight="1">
      <c r="A37" s="45" t="str">
        <f>IFERROR(LOP_08!$A$44,"")</f>
        <v/>
      </c>
      <c r="B37" s="45" t="str">
        <f>IFERROR(LOP_08!$B$44,"")</f>
        <v/>
      </c>
      <c r="C37" s="46" t="str">
        <f>IFERROR(LOP_08!$AH$44,"")</f>
        <v/>
      </c>
      <c r="D37" s="46" t="str">
        <f>IFERROR(LOP_08!$AI$44,"")</f>
        <v/>
      </c>
      <c r="E37" s="41" t="str">
        <f t="shared" si="1"/>
        <v/>
      </c>
      <c r="F37" s="41" t="str">
        <f t="shared" si="2"/>
        <v/>
      </c>
      <c r="G37" s="41" t="str">
        <f>IF(A37="","",SUMIFS(CHUYEN_THANG!$D$4:$D$403,CHUYEN_THANG!$A$4:$A$403,$B$4,CHUYEN_THANG!$B$4:$B$403,A37))</f>
        <v/>
      </c>
      <c r="H37" s="41" t="str">
        <f t="shared" si="3"/>
        <v/>
      </c>
      <c r="I37" s="11"/>
      <c r="J37" s="41" t="str">
        <f t="shared" si="4"/>
        <v/>
      </c>
      <c r="K37" s="41" t="str">
        <f t="shared" si="5"/>
        <v/>
      </c>
      <c r="L37" s="48"/>
      <c r="M37" s="9"/>
      <c r="N37" s="49"/>
      <c r="O37" s="49"/>
    </row>
    <row r="38" ht="15.75" customHeight="1">
      <c r="A38" s="45" t="str">
        <f>IFERROR(LOP_08!$A$45,"")</f>
        <v/>
      </c>
      <c r="B38" s="45" t="str">
        <f>IFERROR(LOP_08!$B$45,"")</f>
        <v/>
      </c>
      <c r="C38" s="46" t="str">
        <f>IFERROR(LOP_08!$AH$45,"")</f>
        <v/>
      </c>
      <c r="D38" s="46" t="str">
        <f>IFERROR(LOP_08!$AI$45,"")</f>
        <v/>
      </c>
      <c r="E38" s="41" t="str">
        <f t="shared" si="1"/>
        <v/>
      </c>
      <c r="F38" s="41" t="str">
        <f t="shared" si="2"/>
        <v/>
      </c>
      <c r="G38" s="41" t="str">
        <f>IF(A38="","",SUMIFS(CHUYEN_THANG!$D$4:$D$403,CHUYEN_THANG!$A$4:$A$403,$B$4,CHUYEN_THANG!$B$4:$B$403,A38))</f>
        <v/>
      </c>
      <c r="H38" s="41" t="str">
        <f t="shared" si="3"/>
        <v/>
      </c>
      <c r="I38" s="11"/>
      <c r="J38" s="41" t="str">
        <f t="shared" si="4"/>
        <v/>
      </c>
      <c r="K38" s="41" t="str">
        <f t="shared" si="5"/>
        <v/>
      </c>
      <c r="L38" s="48"/>
      <c r="M38" s="9"/>
      <c r="N38" s="49"/>
      <c r="O38" s="49"/>
    </row>
    <row r="39" ht="15.75" customHeight="1">
      <c r="A39" s="45" t="str">
        <f>IFERROR(LOP_08!$A$46,"")</f>
        <v/>
      </c>
      <c r="B39" s="45" t="str">
        <f>IFERROR(LOP_08!$B$46,"")</f>
        <v/>
      </c>
      <c r="C39" s="46" t="str">
        <f>IFERROR(LOP_08!$AH$46,"")</f>
        <v/>
      </c>
      <c r="D39" s="46" t="str">
        <f>IFERROR(LOP_08!$AI$46,"")</f>
        <v/>
      </c>
      <c r="E39" s="41" t="str">
        <f t="shared" si="1"/>
        <v/>
      </c>
      <c r="F39" s="41" t="str">
        <f t="shared" si="2"/>
        <v/>
      </c>
      <c r="G39" s="41" t="str">
        <f>IF(A39="","",SUMIFS(CHUYEN_THANG!$D$4:$D$403,CHUYEN_THANG!$A$4:$A$403,$B$4,CHUYEN_THANG!$B$4:$B$403,A39))</f>
        <v/>
      </c>
      <c r="H39" s="41" t="str">
        <f t="shared" si="3"/>
        <v/>
      </c>
      <c r="I39" s="11"/>
      <c r="J39" s="41" t="str">
        <f t="shared" si="4"/>
        <v/>
      </c>
      <c r="K39" s="41" t="str">
        <f t="shared" si="5"/>
        <v/>
      </c>
      <c r="L39" s="48"/>
      <c r="M39" s="9"/>
      <c r="N39" s="49"/>
      <c r="O39" s="49"/>
    </row>
    <row r="40" ht="15.75" customHeight="1">
      <c r="A40" s="45" t="str">
        <f>IFERROR(LOP_08!$A$47,"")</f>
        <v/>
      </c>
      <c r="B40" s="45" t="str">
        <f>IFERROR(LOP_08!$B$47,"")</f>
        <v/>
      </c>
      <c r="C40" s="46" t="str">
        <f>IFERROR(LOP_08!$AH$47,"")</f>
        <v/>
      </c>
      <c r="D40" s="46" t="str">
        <f>IFERROR(LOP_08!$AI$47,"")</f>
        <v/>
      </c>
      <c r="E40" s="41" t="str">
        <f t="shared" si="1"/>
        <v/>
      </c>
      <c r="F40" s="41" t="str">
        <f t="shared" si="2"/>
        <v/>
      </c>
      <c r="G40" s="41" t="str">
        <f>IF(A40="","",SUMIFS(CHUYEN_THANG!$D$4:$D$403,CHUYEN_THANG!$A$4:$A$403,$B$4,CHUYEN_THANG!$B$4:$B$403,A40))</f>
        <v/>
      </c>
      <c r="H40" s="41" t="str">
        <f t="shared" si="3"/>
        <v/>
      </c>
      <c r="I40" s="11"/>
      <c r="J40" s="41" t="str">
        <f t="shared" si="4"/>
        <v/>
      </c>
      <c r="K40" s="41" t="str">
        <f t="shared" si="5"/>
        <v/>
      </c>
      <c r="L40" s="48"/>
      <c r="M40" s="9"/>
      <c r="N40" s="49"/>
      <c r="O40" s="49"/>
    </row>
    <row r="41" ht="15.75" customHeight="1">
      <c r="A41" s="45" t="str">
        <f>IFERROR(LOP_08!$A$48,"")</f>
        <v/>
      </c>
      <c r="B41" s="45" t="str">
        <f>IFERROR(LOP_08!$B$48,"")</f>
        <v/>
      </c>
      <c r="C41" s="46" t="str">
        <f>IFERROR(LOP_08!$AH$48,"")</f>
        <v/>
      </c>
      <c r="D41" s="46" t="str">
        <f>IFERROR(LOP_08!$AI$48,"")</f>
        <v/>
      </c>
      <c r="E41" s="41" t="str">
        <f t="shared" si="1"/>
        <v/>
      </c>
      <c r="F41" s="41" t="str">
        <f t="shared" si="2"/>
        <v/>
      </c>
      <c r="G41" s="41" t="str">
        <f>IF(A41="","",SUMIFS(CHUYEN_THANG!$D$4:$D$403,CHUYEN_THANG!$A$4:$A$403,$B$4,CHUYEN_THANG!$B$4:$B$403,A41))</f>
        <v/>
      </c>
      <c r="H41" s="41" t="str">
        <f t="shared" si="3"/>
        <v/>
      </c>
      <c r="I41" s="11"/>
      <c r="J41" s="41" t="str">
        <f t="shared" si="4"/>
        <v/>
      </c>
      <c r="K41" s="41" t="str">
        <f t="shared" si="5"/>
        <v/>
      </c>
      <c r="L41" s="48"/>
      <c r="M41" s="9"/>
      <c r="N41" s="49"/>
      <c r="O41" s="49"/>
    </row>
    <row r="42" ht="15.75" customHeight="1">
      <c r="A42" s="45" t="str">
        <f>IFERROR(LOP_08!$A$49,"")</f>
        <v/>
      </c>
      <c r="B42" s="45" t="str">
        <f>IFERROR(LOP_08!$B$49,"")</f>
        <v/>
      </c>
      <c r="C42" s="46" t="str">
        <f>IFERROR(LOP_08!$AH$49,"")</f>
        <v/>
      </c>
      <c r="D42" s="46" t="str">
        <f>IFERROR(LOP_08!$AI$49,"")</f>
        <v/>
      </c>
      <c r="E42" s="41" t="str">
        <f t="shared" si="1"/>
        <v/>
      </c>
      <c r="F42" s="41" t="str">
        <f t="shared" si="2"/>
        <v/>
      </c>
      <c r="G42" s="41" t="str">
        <f>IF(A42="","",SUMIFS(CHUYEN_THANG!$D$4:$D$403,CHUYEN_THANG!$A$4:$A$403,$B$4,CHUYEN_THANG!$B$4:$B$403,A42))</f>
        <v/>
      </c>
      <c r="H42" s="41" t="str">
        <f t="shared" si="3"/>
        <v/>
      </c>
      <c r="I42" s="11"/>
      <c r="J42" s="41" t="str">
        <f t="shared" si="4"/>
        <v/>
      </c>
      <c r="K42" s="41" t="str">
        <f t="shared" si="5"/>
        <v/>
      </c>
      <c r="L42" s="48"/>
      <c r="M42" s="9"/>
      <c r="N42" s="49"/>
      <c r="O42" s="49"/>
    </row>
    <row r="43" ht="15.75" customHeight="1">
      <c r="A43" s="45" t="str">
        <f>IFERROR(LOP_08!$A$50,"")</f>
        <v/>
      </c>
      <c r="B43" s="45" t="str">
        <f>IFERROR(LOP_08!$B$50,"")</f>
        <v/>
      </c>
      <c r="C43" s="46" t="str">
        <f>IFERROR(LOP_08!$AH$50,"")</f>
        <v/>
      </c>
      <c r="D43" s="46" t="str">
        <f>IFERROR(LOP_08!$AI$50,"")</f>
        <v/>
      </c>
      <c r="E43" s="41" t="str">
        <f t="shared" si="1"/>
        <v/>
      </c>
      <c r="F43" s="41" t="str">
        <f t="shared" si="2"/>
        <v/>
      </c>
      <c r="G43" s="41" t="str">
        <f>IF(A43="","",SUMIFS(CHUYEN_THANG!$D$4:$D$403,CHUYEN_THANG!$A$4:$A$403,$B$4,CHUYEN_THANG!$B$4:$B$403,A43))</f>
        <v/>
      </c>
      <c r="H43" s="41" t="str">
        <f t="shared" si="3"/>
        <v/>
      </c>
      <c r="I43" s="11"/>
      <c r="J43" s="41" t="str">
        <f t="shared" si="4"/>
        <v/>
      </c>
      <c r="K43" s="41" t="str">
        <f t="shared" si="5"/>
        <v/>
      </c>
      <c r="L43" s="48"/>
      <c r="M43" s="9"/>
      <c r="N43" s="49"/>
      <c r="O43" s="49"/>
    </row>
    <row r="44" ht="15.75" customHeight="1">
      <c r="A44" s="50"/>
      <c r="B44" s="50"/>
      <c r="C44" s="51"/>
      <c r="D44" s="51"/>
      <c r="E44" s="43"/>
      <c r="F44" s="43"/>
      <c r="G44" s="43"/>
      <c r="H44" s="43"/>
      <c r="I44" s="49"/>
      <c r="J44" s="43"/>
      <c r="K44" s="43"/>
      <c r="L44" s="52"/>
      <c r="M44" s="53"/>
      <c r="N44" s="49"/>
      <c r="O44" s="49"/>
    </row>
    <row r="45" ht="15.75" customHeight="1">
      <c r="A45" s="50"/>
      <c r="B45" s="50"/>
      <c r="C45" s="51"/>
      <c r="D45" s="51"/>
      <c r="E45" s="43"/>
      <c r="F45" s="43"/>
      <c r="G45" s="43"/>
      <c r="H45" s="43"/>
      <c r="I45" s="49"/>
      <c r="J45" s="43"/>
      <c r="K45" s="43"/>
      <c r="L45" s="52"/>
      <c r="M45" s="53"/>
      <c r="N45" s="49"/>
      <c r="O45" s="49"/>
    </row>
    <row r="46" ht="15.75" customHeight="1">
      <c r="A46" s="50"/>
      <c r="B46" s="50"/>
      <c r="C46" s="51"/>
      <c r="D46" s="51"/>
      <c r="E46" s="43"/>
      <c r="F46" s="43"/>
      <c r="G46" s="43"/>
      <c r="H46" s="43"/>
      <c r="I46" s="49"/>
      <c r="J46" s="43"/>
      <c r="K46" s="43"/>
      <c r="L46" s="52"/>
      <c r="M46" s="53"/>
      <c r="N46" s="49"/>
      <c r="O46" s="49"/>
    </row>
    <row r="47" ht="15.75" customHeight="1">
      <c r="A47" s="50"/>
      <c r="B47" s="50"/>
      <c r="C47" s="51"/>
      <c r="D47" s="51"/>
      <c r="E47" s="43"/>
      <c r="F47" s="43"/>
      <c r="G47" s="43"/>
      <c r="H47" s="43"/>
      <c r="I47" s="49"/>
      <c r="J47" s="43"/>
      <c r="K47" s="43"/>
      <c r="L47" s="52"/>
      <c r="M47" s="53"/>
      <c r="N47" s="49"/>
      <c r="O47" s="49"/>
    </row>
    <row r="48" ht="15.75" customHeight="1">
      <c r="A48" s="50"/>
      <c r="B48" s="50"/>
      <c r="C48" s="51"/>
      <c r="D48" s="51"/>
      <c r="E48" s="43"/>
      <c r="F48" s="43"/>
      <c r="G48" s="43"/>
      <c r="H48" s="43"/>
      <c r="I48" s="49"/>
      <c r="J48" s="43"/>
      <c r="K48" s="43"/>
      <c r="L48" s="52"/>
      <c r="M48" s="53"/>
      <c r="N48" s="49"/>
      <c r="O48" s="49"/>
    </row>
    <row r="49" ht="15.75" customHeight="1">
      <c r="A49" s="50"/>
      <c r="B49" s="50"/>
      <c r="C49" s="51"/>
      <c r="D49" s="51"/>
      <c r="E49" s="43"/>
      <c r="F49" s="43"/>
      <c r="G49" s="43"/>
      <c r="H49" s="43"/>
      <c r="I49" s="49"/>
      <c r="J49" s="43"/>
      <c r="K49" s="43"/>
      <c r="L49" s="52"/>
      <c r="M49" s="53"/>
      <c r="N49" s="49"/>
      <c r="O49" s="49"/>
    </row>
    <row r="50" ht="15.75" customHeight="1">
      <c r="A50" s="50"/>
      <c r="B50" s="50"/>
      <c r="C50" s="51"/>
      <c r="D50" s="51"/>
      <c r="E50" s="43"/>
      <c r="F50" s="43"/>
      <c r="G50" s="43"/>
      <c r="H50" s="43"/>
      <c r="I50" s="49"/>
      <c r="J50" s="43"/>
      <c r="K50" s="43"/>
      <c r="L50" s="52"/>
      <c r="M50" s="53"/>
      <c r="N50" s="49"/>
      <c r="O50" s="49"/>
    </row>
    <row r="51" ht="15.75" customHeight="1">
      <c r="A51" s="50"/>
      <c r="B51" s="50"/>
      <c r="C51" s="51"/>
      <c r="D51" s="51"/>
      <c r="E51" s="43"/>
      <c r="F51" s="43"/>
      <c r="G51" s="43"/>
      <c r="H51" s="43"/>
      <c r="I51" s="49"/>
      <c r="J51" s="43"/>
      <c r="K51" s="43"/>
      <c r="L51" s="52"/>
      <c r="M51" s="53"/>
      <c r="N51" s="49"/>
      <c r="O51" s="49"/>
    </row>
    <row r="52" ht="15.75" customHeight="1">
      <c r="A52" s="50"/>
      <c r="B52" s="50"/>
      <c r="C52" s="51"/>
      <c r="D52" s="51"/>
      <c r="E52" s="43"/>
      <c r="F52" s="43"/>
      <c r="G52" s="43"/>
      <c r="H52" s="43"/>
      <c r="I52" s="49"/>
      <c r="J52" s="43"/>
      <c r="K52" s="43"/>
      <c r="L52" s="52"/>
      <c r="M52" s="53"/>
      <c r="N52" s="49"/>
      <c r="O52" s="49"/>
    </row>
    <row r="53" ht="15.75" customHeight="1">
      <c r="A53" s="50"/>
      <c r="B53" s="50"/>
      <c r="C53" s="51"/>
      <c r="D53" s="51"/>
      <c r="E53" s="43"/>
      <c r="F53" s="43"/>
      <c r="G53" s="43"/>
      <c r="H53" s="43"/>
      <c r="I53" s="49"/>
      <c r="J53" s="43"/>
      <c r="K53" s="43"/>
      <c r="L53" s="52"/>
      <c r="M53" s="53"/>
      <c r="N53" s="49"/>
      <c r="O53" s="49"/>
    </row>
    <row r="54" ht="15.75" customHeight="1">
      <c r="A54" s="50"/>
      <c r="B54" s="50"/>
      <c r="C54" s="51"/>
      <c r="D54" s="51"/>
      <c r="E54" s="43"/>
      <c r="F54" s="43"/>
      <c r="G54" s="43"/>
      <c r="H54" s="43"/>
      <c r="I54" s="49"/>
      <c r="J54" s="43"/>
      <c r="K54" s="43"/>
      <c r="L54" s="52"/>
      <c r="M54" s="53"/>
      <c r="N54" s="49"/>
      <c r="O54" s="49"/>
    </row>
    <row r="55" ht="15.75" customHeight="1">
      <c r="A55" s="50"/>
      <c r="B55" s="50"/>
      <c r="C55" s="51"/>
      <c r="D55" s="51"/>
      <c r="E55" s="43"/>
      <c r="F55" s="43"/>
      <c r="G55" s="43"/>
      <c r="H55" s="43"/>
      <c r="I55" s="49"/>
      <c r="J55" s="43"/>
      <c r="K55" s="43"/>
      <c r="L55" s="52"/>
      <c r="M55" s="53"/>
      <c r="N55" s="49"/>
      <c r="O55" s="49"/>
    </row>
    <row r="56" ht="15.75" customHeight="1">
      <c r="A56" s="50"/>
      <c r="B56" s="50"/>
      <c r="C56" s="51"/>
      <c r="D56" s="51"/>
      <c r="E56" s="43"/>
      <c r="F56" s="43"/>
      <c r="G56" s="43"/>
      <c r="H56" s="43"/>
      <c r="I56" s="49"/>
      <c r="J56" s="43"/>
      <c r="K56" s="43"/>
      <c r="L56" s="52"/>
      <c r="M56" s="53"/>
      <c r="N56" s="49"/>
      <c r="O56" s="49"/>
    </row>
    <row r="57" ht="15.75" customHeight="1">
      <c r="A57" s="50"/>
      <c r="B57" s="50"/>
      <c r="C57" s="51"/>
      <c r="D57" s="51"/>
      <c r="E57" s="43"/>
      <c r="F57" s="43"/>
      <c r="G57" s="43"/>
      <c r="H57" s="43"/>
      <c r="I57" s="49"/>
      <c r="J57" s="43"/>
      <c r="K57" s="43"/>
      <c r="L57" s="52"/>
      <c r="M57" s="53"/>
      <c r="N57" s="49"/>
      <c r="O57" s="49"/>
    </row>
    <row r="58" ht="15.75" customHeight="1">
      <c r="A58" s="50"/>
      <c r="B58" s="50"/>
      <c r="C58" s="51"/>
      <c r="D58" s="51"/>
      <c r="E58" s="43"/>
      <c r="F58" s="43"/>
      <c r="G58" s="43"/>
      <c r="H58" s="43"/>
      <c r="I58" s="49"/>
      <c r="J58" s="43"/>
      <c r="K58" s="43"/>
      <c r="L58" s="52"/>
      <c r="M58" s="53"/>
      <c r="N58" s="49"/>
      <c r="O58" s="49"/>
    </row>
    <row r="59" ht="15.75" customHeight="1">
      <c r="A59" s="50"/>
      <c r="B59" s="50"/>
      <c r="C59" s="51"/>
      <c r="D59" s="51"/>
      <c r="E59" s="43"/>
      <c r="F59" s="43"/>
      <c r="G59" s="43"/>
      <c r="H59" s="43"/>
      <c r="I59" s="49"/>
      <c r="J59" s="43"/>
      <c r="K59" s="43"/>
      <c r="L59" s="52"/>
      <c r="M59" s="53"/>
      <c r="N59" s="49"/>
      <c r="O59" s="49"/>
    </row>
    <row r="60" ht="15.75" customHeight="1">
      <c r="A60" s="50"/>
      <c r="B60" s="50"/>
      <c r="C60" s="51"/>
      <c r="D60" s="51"/>
      <c r="E60" s="43"/>
      <c r="F60" s="43"/>
      <c r="G60" s="43"/>
      <c r="H60" s="43"/>
      <c r="I60" s="49"/>
      <c r="J60" s="43"/>
      <c r="K60" s="43"/>
      <c r="L60" s="52"/>
      <c r="M60" s="53"/>
      <c r="N60" s="49"/>
      <c r="O60" s="49"/>
    </row>
    <row r="61" ht="15.75" customHeight="1">
      <c r="A61" s="50"/>
      <c r="B61" s="50"/>
      <c r="C61" s="51"/>
      <c r="D61" s="51"/>
      <c r="E61" s="43"/>
      <c r="F61" s="43"/>
      <c r="G61" s="43"/>
      <c r="H61" s="43"/>
      <c r="I61" s="49"/>
      <c r="J61" s="43"/>
      <c r="K61" s="43"/>
      <c r="L61" s="52"/>
      <c r="M61" s="53"/>
      <c r="N61" s="49"/>
      <c r="O61" s="49"/>
    </row>
    <row r="62" ht="15.75" customHeight="1">
      <c r="A62" s="50"/>
      <c r="B62" s="50"/>
      <c r="C62" s="51"/>
      <c r="D62" s="51"/>
      <c r="E62" s="43"/>
      <c r="F62" s="43"/>
      <c r="G62" s="43"/>
      <c r="H62" s="43"/>
      <c r="I62" s="49"/>
      <c r="J62" s="43"/>
      <c r="K62" s="43"/>
      <c r="L62" s="52"/>
      <c r="M62" s="53"/>
      <c r="N62" s="49"/>
      <c r="O62" s="49"/>
    </row>
    <row r="63" ht="15.75" customHeight="1">
      <c r="A63" s="50"/>
      <c r="B63" s="50"/>
      <c r="C63" s="51"/>
      <c r="D63" s="51"/>
      <c r="E63" s="43"/>
      <c r="F63" s="43"/>
      <c r="G63" s="43"/>
      <c r="H63" s="43"/>
      <c r="I63" s="49"/>
      <c r="J63" s="43"/>
      <c r="K63" s="43"/>
      <c r="L63" s="52"/>
      <c r="M63" s="53"/>
      <c r="N63" s="49"/>
      <c r="O63" s="49"/>
    </row>
    <row r="64" ht="15.75" customHeight="1">
      <c r="A64" s="50"/>
      <c r="B64" s="50"/>
      <c r="C64" s="51"/>
      <c r="D64" s="51"/>
      <c r="E64" s="43"/>
      <c r="F64" s="43"/>
      <c r="G64" s="43"/>
      <c r="H64" s="43"/>
      <c r="I64" s="49"/>
      <c r="J64" s="43"/>
      <c r="K64" s="43"/>
      <c r="L64" s="52"/>
      <c r="M64" s="53"/>
      <c r="N64" s="49"/>
      <c r="O64" s="49"/>
    </row>
    <row r="65" ht="15.75" customHeight="1">
      <c r="A65" s="50"/>
      <c r="B65" s="50"/>
      <c r="C65" s="51"/>
      <c r="D65" s="51"/>
      <c r="E65" s="43"/>
      <c r="F65" s="43"/>
      <c r="G65" s="43"/>
      <c r="H65" s="43"/>
      <c r="I65" s="49"/>
      <c r="J65" s="43"/>
      <c r="K65" s="43"/>
      <c r="L65" s="52"/>
      <c r="M65" s="53"/>
      <c r="N65" s="49"/>
      <c r="O65" s="49"/>
    </row>
    <row r="66" ht="15.75" customHeight="1">
      <c r="A66" s="50"/>
      <c r="B66" s="50"/>
      <c r="C66" s="51"/>
      <c r="D66" s="51"/>
      <c r="E66" s="43"/>
      <c r="F66" s="43"/>
      <c r="G66" s="43"/>
      <c r="H66" s="43"/>
      <c r="I66" s="49"/>
      <c r="J66" s="43"/>
      <c r="K66" s="43"/>
      <c r="L66" s="52"/>
      <c r="M66" s="53"/>
      <c r="N66" s="49"/>
      <c r="O66" s="49"/>
    </row>
    <row r="67" ht="15.75" customHeight="1">
      <c r="A67" s="50"/>
      <c r="B67" s="50"/>
      <c r="C67" s="51"/>
      <c r="D67" s="51"/>
      <c r="E67" s="43"/>
      <c r="F67" s="43"/>
      <c r="G67" s="43"/>
      <c r="H67" s="43"/>
      <c r="I67" s="49"/>
      <c r="J67" s="43"/>
      <c r="K67" s="43"/>
      <c r="L67" s="52"/>
      <c r="M67" s="53"/>
      <c r="N67" s="49"/>
      <c r="O67" s="49"/>
    </row>
    <row r="68" ht="15.75" customHeight="1">
      <c r="A68" s="50"/>
      <c r="B68" s="50"/>
      <c r="C68" s="51"/>
      <c r="D68" s="51"/>
      <c r="E68" s="43"/>
      <c r="F68" s="43"/>
      <c r="G68" s="43"/>
      <c r="H68" s="43"/>
      <c r="I68" s="49"/>
      <c r="J68" s="43"/>
      <c r="K68" s="43"/>
      <c r="L68" s="52"/>
      <c r="M68" s="53"/>
      <c r="N68" s="49"/>
      <c r="O68" s="49"/>
    </row>
    <row r="69" ht="15.75" customHeight="1">
      <c r="A69" s="50"/>
      <c r="B69" s="50"/>
      <c r="C69" s="51"/>
      <c r="D69" s="51"/>
      <c r="E69" s="43"/>
      <c r="F69" s="43"/>
      <c r="G69" s="43"/>
      <c r="H69" s="43"/>
      <c r="I69" s="49"/>
      <c r="J69" s="43"/>
      <c r="K69" s="43"/>
      <c r="L69" s="52"/>
      <c r="M69" s="53"/>
      <c r="N69" s="49"/>
      <c r="O69" s="49"/>
    </row>
    <row r="70" ht="15.75" customHeight="1">
      <c r="A70" s="50"/>
      <c r="B70" s="50"/>
      <c r="C70" s="51"/>
      <c r="D70" s="51"/>
      <c r="E70" s="43"/>
      <c r="F70" s="43"/>
      <c r="G70" s="43"/>
      <c r="H70" s="43"/>
      <c r="I70" s="49"/>
      <c r="J70" s="43"/>
      <c r="K70" s="43"/>
      <c r="L70" s="52"/>
      <c r="M70" s="53"/>
      <c r="N70" s="49"/>
      <c r="O70" s="49"/>
    </row>
    <row r="71" ht="15.75" customHeight="1">
      <c r="A71" s="50"/>
      <c r="B71" s="50"/>
      <c r="C71" s="51"/>
      <c r="D71" s="51"/>
      <c r="E71" s="43"/>
      <c r="F71" s="43"/>
      <c r="G71" s="43"/>
      <c r="H71" s="43"/>
      <c r="I71" s="49"/>
      <c r="J71" s="43"/>
      <c r="K71" s="43"/>
      <c r="L71" s="52"/>
      <c r="M71" s="53"/>
      <c r="N71" s="49"/>
      <c r="O71" s="49"/>
    </row>
    <row r="72" ht="15.75" customHeight="1">
      <c r="A72" s="50"/>
      <c r="B72" s="50"/>
      <c r="C72" s="51"/>
      <c r="D72" s="51"/>
      <c r="E72" s="43"/>
      <c r="F72" s="43"/>
      <c r="G72" s="43"/>
      <c r="H72" s="43"/>
      <c r="I72" s="49"/>
      <c r="J72" s="43"/>
      <c r="K72" s="43"/>
      <c r="L72" s="52"/>
      <c r="M72" s="53"/>
      <c r="N72" s="49"/>
      <c r="O72" s="49"/>
    </row>
    <row r="73" ht="15.75" customHeight="1">
      <c r="A73" s="50"/>
      <c r="B73" s="50"/>
      <c r="C73" s="51"/>
      <c r="D73" s="51"/>
      <c r="E73" s="43"/>
      <c r="F73" s="43"/>
      <c r="G73" s="43"/>
      <c r="H73" s="43"/>
      <c r="I73" s="49"/>
      <c r="J73" s="43"/>
      <c r="K73" s="43"/>
      <c r="L73" s="52"/>
      <c r="M73" s="53"/>
      <c r="N73" s="49"/>
      <c r="O73" s="49"/>
    </row>
    <row r="74" ht="15.75" customHeight="1">
      <c r="A74" s="50"/>
      <c r="B74" s="50"/>
      <c r="C74" s="51"/>
      <c r="D74" s="51"/>
      <c r="E74" s="43"/>
      <c r="F74" s="43"/>
      <c r="G74" s="43"/>
      <c r="H74" s="43"/>
      <c r="I74" s="49"/>
      <c r="J74" s="43"/>
      <c r="K74" s="43"/>
      <c r="L74" s="52"/>
      <c r="M74" s="53"/>
      <c r="N74" s="49"/>
      <c r="O74" s="49"/>
    </row>
    <row r="75" ht="15.75" customHeight="1">
      <c r="A75" s="50"/>
      <c r="B75" s="50"/>
      <c r="C75" s="51"/>
      <c r="D75" s="51"/>
      <c r="E75" s="43"/>
      <c r="F75" s="43"/>
      <c r="G75" s="43"/>
      <c r="H75" s="43"/>
      <c r="I75" s="49"/>
      <c r="J75" s="43"/>
      <c r="K75" s="43"/>
      <c r="L75" s="52"/>
      <c r="M75" s="53"/>
      <c r="N75" s="49"/>
      <c r="O75" s="49"/>
    </row>
    <row r="76" ht="15.75" customHeight="1">
      <c r="A76" s="50"/>
      <c r="B76" s="50"/>
      <c r="C76" s="51"/>
      <c r="D76" s="51"/>
      <c r="E76" s="43"/>
      <c r="F76" s="43"/>
      <c r="G76" s="43"/>
      <c r="H76" s="43"/>
      <c r="I76" s="49"/>
      <c r="J76" s="43"/>
      <c r="K76" s="43"/>
      <c r="L76" s="52"/>
      <c r="M76" s="53"/>
      <c r="N76" s="49"/>
      <c r="O76" s="49"/>
    </row>
    <row r="77" ht="15.75" customHeight="1">
      <c r="A77" s="50"/>
      <c r="B77" s="50"/>
      <c r="C77" s="51"/>
      <c r="D77" s="51"/>
      <c r="E77" s="43"/>
      <c r="F77" s="43"/>
      <c r="G77" s="43"/>
      <c r="H77" s="43"/>
      <c r="I77" s="49"/>
      <c r="J77" s="43"/>
      <c r="K77" s="43"/>
      <c r="L77" s="52"/>
      <c r="M77" s="53"/>
      <c r="N77" s="49"/>
      <c r="O77" s="49"/>
    </row>
    <row r="78" ht="15.75" customHeight="1">
      <c r="A78" s="50"/>
      <c r="B78" s="50"/>
      <c r="C78" s="51"/>
      <c r="D78" s="51"/>
      <c r="E78" s="43"/>
      <c r="F78" s="43"/>
      <c r="G78" s="43"/>
      <c r="H78" s="43"/>
      <c r="I78" s="49"/>
      <c r="J78" s="43"/>
      <c r="K78" s="43"/>
      <c r="L78" s="52"/>
      <c r="M78" s="53"/>
      <c r="N78" s="49"/>
      <c r="O78" s="49"/>
    </row>
    <row r="79" ht="15.75" customHeight="1">
      <c r="A79" s="50"/>
      <c r="B79" s="50"/>
      <c r="C79" s="51"/>
      <c r="D79" s="51"/>
      <c r="E79" s="43"/>
      <c r="F79" s="43"/>
      <c r="G79" s="43"/>
      <c r="H79" s="43"/>
      <c r="I79" s="49"/>
      <c r="J79" s="43"/>
      <c r="K79" s="43"/>
      <c r="L79" s="52"/>
      <c r="M79" s="53"/>
      <c r="N79" s="49"/>
      <c r="O79" s="49"/>
    </row>
    <row r="80" ht="15.75" customHeight="1">
      <c r="A80" s="50"/>
      <c r="B80" s="50"/>
      <c r="C80" s="51"/>
      <c r="D80" s="51"/>
      <c r="E80" s="43"/>
      <c r="F80" s="43"/>
      <c r="G80" s="43"/>
      <c r="H80" s="43"/>
      <c r="I80" s="49"/>
      <c r="J80" s="43"/>
      <c r="K80" s="43"/>
      <c r="L80" s="52"/>
      <c r="M80" s="53"/>
      <c r="N80" s="49"/>
      <c r="O80" s="49"/>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M1"/>
  </mergeCells>
  <conditionalFormatting sqref="J14:J43">
    <cfRule type="cellIs" dxfId="3" priority="1" operator="greaterThan">
      <formula>0</formula>
    </cfRule>
  </conditionalFormatting>
  <conditionalFormatting sqref="J14:J80">
    <cfRule type="expression" dxfId="1" priority="2">
      <formula>J14&gt;0</formula>
    </cfRule>
  </conditionalFormatting>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25.0"/>
    <col customWidth="1" min="3" max="4" width="9.0"/>
    <col customWidth="1" min="5" max="7" width="16.0"/>
    <col customWidth="1" min="8" max="10" width="13.0"/>
    <col customWidth="1" min="11" max="11" width="16.0"/>
    <col customWidth="1" min="12" max="12" width="13.0"/>
    <col customWidth="1" min="13" max="13" width="32.0"/>
    <col customWidth="1" min="14" max="15" width="16.0"/>
  </cols>
  <sheetData>
    <row r="1" ht="30.0" customHeight="1">
      <c r="A1" s="1" t="s">
        <v>128</v>
      </c>
      <c r="N1" s="2"/>
      <c r="O1" s="2"/>
    </row>
    <row r="2">
      <c r="A2" s="3"/>
      <c r="B2" s="3"/>
      <c r="C2" s="3"/>
      <c r="D2" s="3"/>
      <c r="E2" s="3"/>
      <c r="F2" s="3"/>
      <c r="G2" s="3"/>
      <c r="H2" s="3"/>
      <c r="I2" s="3"/>
      <c r="J2" s="3"/>
      <c r="K2" s="3"/>
      <c r="L2" s="3"/>
      <c r="M2" s="3"/>
      <c r="N2" s="3"/>
      <c r="O2" s="3"/>
    </row>
    <row r="3">
      <c r="A3" s="4" t="s">
        <v>95</v>
      </c>
      <c r="B3" s="4" t="s">
        <v>6</v>
      </c>
      <c r="C3" s="3"/>
      <c r="D3" s="4" t="s">
        <v>96</v>
      </c>
      <c r="E3" s="4" t="s">
        <v>6</v>
      </c>
      <c r="F3" s="3"/>
      <c r="G3" s="3"/>
      <c r="H3" s="3"/>
      <c r="I3" s="3"/>
      <c r="J3" s="3"/>
      <c r="K3" s="3"/>
      <c r="L3" s="3"/>
      <c r="M3" s="3"/>
      <c r="N3" s="3"/>
      <c r="O3" s="3"/>
    </row>
    <row r="4">
      <c r="A4" s="38" t="s">
        <v>10</v>
      </c>
      <c r="B4" s="39" t="str">
        <f>IF(DANH_MUC_LOP!B12="","",DANH_MUC_LOP!B12)</f>
        <v/>
      </c>
      <c r="C4" s="3"/>
      <c r="D4" s="40" t="s">
        <v>97</v>
      </c>
      <c r="E4" s="41">
        <f>SUM(J14:J43)</f>
        <v>0</v>
      </c>
      <c r="F4" s="3"/>
      <c r="G4" s="3"/>
      <c r="H4" s="3"/>
      <c r="I4" s="3"/>
      <c r="J4" s="3"/>
      <c r="K4" s="3"/>
      <c r="L4" s="3"/>
      <c r="M4" s="3"/>
      <c r="N4" s="3"/>
      <c r="O4" s="3"/>
    </row>
    <row r="5">
      <c r="A5" s="38" t="s">
        <v>19</v>
      </c>
      <c r="B5" s="39" t="str">
        <f>IF(DANH_MUC_LOP!C12="","",DANH_MUC_LOP!C12)</f>
        <v/>
      </c>
      <c r="C5" s="3"/>
      <c r="D5" s="40" t="s">
        <v>65</v>
      </c>
      <c r="E5" s="41">
        <f>SUM(K14:K43)</f>
        <v>0</v>
      </c>
      <c r="F5" s="3"/>
      <c r="G5" s="3"/>
      <c r="H5" s="3"/>
      <c r="I5" s="3"/>
      <c r="J5" s="3"/>
      <c r="K5" s="3"/>
      <c r="L5" s="3"/>
      <c r="M5" s="3"/>
      <c r="N5" s="3"/>
      <c r="O5" s="3"/>
    </row>
    <row r="6">
      <c r="A6" s="38" t="s">
        <v>98</v>
      </c>
      <c r="B6" s="39" t="str">
        <f>IFERROR(IF(DANH_MUC_LOP!R12&gt;0,DANH_MUC_LOP!R12,LOP_09!$B$16),0)</f>
        <v/>
      </c>
      <c r="C6" s="3"/>
      <c r="D6" s="40" t="s">
        <v>99</v>
      </c>
      <c r="E6" s="41">
        <f>IF(B4="",0,SUMIF(THUONG_HOC_SINH!$A$4:$A$83,B4,THUONG_HOC_SINH!$D$4:$D$83))</f>
        <v>0</v>
      </c>
      <c r="F6" s="3"/>
      <c r="G6" s="3"/>
      <c r="H6" s="3"/>
      <c r="I6" s="3"/>
      <c r="J6" s="3"/>
      <c r="K6" s="3"/>
      <c r="L6" s="3"/>
      <c r="M6" s="3"/>
      <c r="N6" s="3"/>
      <c r="O6" s="3"/>
    </row>
    <row r="7">
      <c r="A7" s="38" t="s">
        <v>23</v>
      </c>
      <c r="B7" s="41" t="str">
        <f>IF(DANH_MUC_LOP!B12="","",DANH_MUC_LOP!F12)</f>
        <v/>
      </c>
      <c r="C7" s="3"/>
      <c r="D7" s="42"/>
      <c r="E7" s="43"/>
      <c r="F7" s="3"/>
      <c r="G7" s="3"/>
      <c r="H7" s="3"/>
      <c r="I7" s="3"/>
      <c r="J7" s="3"/>
      <c r="K7" s="3"/>
      <c r="L7" s="3"/>
      <c r="M7" s="3"/>
      <c r="N7" s="3"/>
      <c r="O7" s="3"/>
    </row>
    <row r="8">
      <c r="A8" s="38" t="s">
        <v>31</v>
      </c>
      <c r="B8" s="39" t="str">
        <f>IF(DANH_MUC_LOP!B12="","",DANH_MUC_LOP!N12)</f>
        <v/>
      </c>
      <c r="C8" s="3"/>
      <c r="D8" s="42"/>
      <c r="E8" s="43"/>
      <c r="F8" s="3"/>
      <c r="G8" s="3"/>
      <c r="H8" s="3"/>
      <c r="I8" s="3"/>
      <c r="J8" s="3"/>
      <c r="K8" s="3"/>
      <c r="L8" s="3"/>
      <c r="M8" s="3"/>
      <c r="N8" s="3"/>
      <c r="O8" s="3"/>
    </row>
    <row r="9">
      <c r="A9" s="38" t="s">
        <v>100</v>
      </c>
      <c r="B9" s="39">
        <f>COUNTIF(A14:A43,"?*")</f>
        <v>0</v>
      </c>
      <c r="C9" s="3"/>
      <c r="D9" s="42"/>
      <c r="E9" s="43"/>
      <c r="F9" s="3"/>
      <c r="G9" s="3"/>
      <c r="H9" s="3"/>
      <c r="I9" s="3"/>
      <c r="J9" s="3"/>
      <c r="K9" s="3"/>
      <c r="L9" s="3"/>
      <c r="M9" s="3"/>
      <c r="N9" s="3"/>
      <c r="O9" s="3"/>
    </row>
    <row r="10">
      <c r="A10" s="38" t="s">
        <v>101</v>
      </c>
      <c r="B10" s="41">
        <f>SUM(H14:H43)</f>
        <v>0</v>
      </c>
      <c r="C10" s="3"/>
      <c r="D10" s="42"/>
      <c r="E10" s="43"/>
      <c r="F10" s="3"/>
      <c r="G10" s="3"/>
      <c r="H10" s="3"/>
      <c r="I10" s="3"/>
      <c r="J10" s="3"/>
      <c r="K10" s="3"/>
      <c r="L10" s="3"/>
      <c r="M10" s="3"/>
      <c r="N10" s="3"/>
      <c r="O10" s="3"/>
    </row>
    <row r="11">
      <c r="A11" s="38" t="s">
        <v>102</v>
      </c>
      <c r="B11" s="41">
        <f>SUM(I14:I43)</f>
        <v>0</v>
      </c>
      <c r="C11" s="3"/>
      <c r="D11" s="42"/>
      <c r="E11" s="43"/>
      <c r="F11" s="3"/>
      <c r="G11" s="3"/>
      <c r="H11" s="3"/>
      <c r="I11" s="3"/>
      <c r="J11" s="3"/>
      <c r="K11" s="3"/>
      <c r="L11" s="3"/>
      <c r="M11" s="3"/>
      <c r="N11" s="3"/>
      <c r="O11" s="3"/>
    </row>
    <row r="12">
      <c r="A12" s="3"/>
      <c r="B12" s="3"/>
      <c r="C12" s="3"/>
      <c r="D12" s="3"/>
      <c r="E12" s="3"/>
      <c r="F12" s="3"/>
      <c r="G12" s="3"/>
      <c r="H12" s="3"/>
      <c r="I12" s="3"/>
      <c r="J12" s="3"/>
      <c r="K12" s="3"/>
      <c r="L12" s="3"/>
      <c r="M12" s="3"/>
      <c r="N12" s="3"/>
      <c r="O12" s="3"/>
    </row>
    <row r="13" ht="27.75" customHeight="1">
      <c r="A13" s="5" t="s">
        <v>14</v>
      </c>
      <c r="B13" s="5" t="s">
        <v>16</v>
      </c>
      <c r="C13" s="5" t="s">
        <v>104</v>
      </c>
      <c r="D13" s="5" t="s">
        <v>105</v>
      </c>
      <c r="E13" s="5" t="s">
        <v>106</v>
      </c>
      <c r="F13" s="5" t="s">
        <v>107</v>
      </c>
      <c r="G13" s="5" t="s">
        <v>64</v>
      </c>
      <c r="H13" s="5" t="s">
        <v>108</v>
      </c>
      <c r="I13" s="5" t="s">
        <v>102</v>
      </c>
      <c r="J13" s="5" t="s">
        <v>97</v>
      </c>
      <c r="K13" s="5" t="s">
        <v>65</v>
      </c>
      <c r="L13" s="5" t="s">
        <v>109</v>
      </c>
      <c r="M13" s="5" t="s">
        <v>15</v>
      </c>
      <c r="N13" s="5" t="s">
        <v>110</v>
      </c>
      <c r="O13" s="5" t="s">
        <v>111</v>
      </c>
    </row>
    <row r="14">
      <c r="A14" s="45" t="str">
        <f>IFERROR(LOP_09!$A$21,"")</f>
        <v/>
      </c>
      <c r="B14" s="45" t="str">
        <f>IFERROR(LOP_09!$B$21,"")</f>
        <v/>
      </c>
      <c r="C14" s="46" t="str">
        <f>IFERROR(LOP_09!$AH$21,"")</f>
        <v/>
      </c>
      <c r="D14" s="46" t="str">
        <f>IFERROR(LOP_09!$AI$21,"")</f>
        <v/>
      </c>
      <c r="E14" s="41" t="str">
        <f t="shared" ref="E14:E43" si="1">IF(A14="","",$B$7)</f>
        <v/>
      </c>
      <c r="F14" s="41" t="str">
        <f t="shared" ref="F14:F43" si="2">IF(A14="","",IF($B$8="Thu trước",$B$6*E14,C14*E14))</f>
        <v/>
      </c>
      <c r="G14" s="41" t="str">
        <f>IF(A14="","",SUMIFS(CHUYEN_THANG!$D$4:$D$403,CHUYEN_THANG!$A$4:$A$403,$B$4,CHUYEN_THANG!$B$4:$B$403,A14))</f>
        <v/>
      </c>
      <c r="H14" s="41" t="str">
        <f t="shared" ref="H14:H43" si="3">IF(A14="","",IF(O14&lt;&gt;"",MAX(0,O14),MAX(0,F14-G14+N14)))</f>
        <v/>
      </c>
      <c r="I14" s="11"/>
      <c r="J14" s="41" t="str">
        <f t="shared" ref="J14:J43" si="4">IF(A14="","",MAX(0,H14-I14))</f>
        <v/>
      </c>
      <c r="K14" s="41" t="str">
        <f t="shared" ref="K14:K43" si="5">IF(A14="","",IF($B$8="Thu trước",D14*E14,0))</f>
        <v/>
      </c>
      <c r="L14" s="48"/>
      <c r="M14" s="9"/>
      <c r="N14" s="49"/>
      <c r="O14" s="49"/>
    </row>
    <row r="15">
      <c r="A15" s="45" t="str">
        <f>IFERROR(LOP_09!$A$22,"")</f>
        <v/>
      </c>
      <c r="B15" s="45" t="str">
        <f>IFERROR(LOP_09!$B$22,"")</f>
        <v/>
      </c>
      <c r="C15" s="46" t="str">
        <f>IFERROR(LOP_09!$AH$22,"")</f>
        <v/>
      </c>
      <c r="D15" s="46" t="str">
        <f>IFERROR(LOP_09!$AI$22,"")</f>
        <v/>
      </c>
      <c r="E15" s="41" t="str">
        <f t="shared" si="1"/>
        <v/>
      </c>
      <c r="F15" s="41" t="str">
        <f t="shared" si="2"/>
        <v/>
      </c>
      <c r="G15" s="41" t="str">
        <f>IF(A15="","",SUMIFS(CHUYEN_THANG!$D$4:$D$403,CHUYEN_THANG!$A$4:$A$403,$B$4,CHUYEN_THANG!$B$4:$B$403,A15))</f>
        <v/>
      </c>
      <c r="H15" s="41" t="str">
        <f t="shared" si="3"/>
        <v/>
      </c>
      <c r="I15" s="11"/>
      <c r="J15" s="41" t="str">
        <f t="shared" si="4"/>
        <v/>
      </c>
      <c r="K15" s="41" t="str">
        <f t="shared" si="5"/>
        <v/>
      </c>
      <c r="L15" s="48"/>
      <c r="M15" s="9"/>
      <c r="N15" s="49"/>
      <c r="O15" s="49"/>
    </row>
    <row r="16">
      <c r="A16" s="45" t="str">
        <f>IFERROR(LOP_09!$A$23,"")</f>
        <v/>
      </c>
      <c r="B16" s="45" t="str">
        <f>IFERROR(LOP_09!$B$23,"")</f>
        <v/>
      </c>
      <c r="C16" s="46" t="str">
        <f>IFERROR(LOP_09!$AH$23,"")</f>
        <v/>
      </c>
      <c r="D16" s="46" t="str">
        <f>IFERROR(LOP_09!$AI$23,"")</f>
        <v/>
      </c>
      <c r="E16" s="41" t="str">
        <f t="shared" si="1"/>
        <v/>
      </c>
      <c r="F16" s="41" t="str">
        <f t="shared" si="2"/>
        <v/>
      </c>
      <c r="G16" s="41" t="str">
        <f>IF(A16="","",SUMIFS(CHUYEN_THANG!$D$4:$D$403,CHUYEN_THANG!$A$4:$A$403,$B$4,CHUYEN_THANG!$B$4:$B$403,A16))</f>
        <v/>
      </c>
      <c r="H16" s="41" t="str">
        <f t="shared" si="3"/>
        <v/>
      </c>
      <c r="I16" s="11"/>
      <c r="J16" s="41" t="str">
        <f t="shared" si="4"/>
        <v/>
      </c>
      <c r="K16" s="41" t="str">
        <f t="shared" si="5"/>
        <v/>
      </c>
      <c r="L16" s="48"/>
      <c r="M16" s="9"/>
      <c r="N16" s="49"/>
      <c r="O16" s="49"/>
    </row>
    <row r="17">
      <c r="A17" s="45" t="str">
        <f>IFERROR(LOP_09!$A$24,"")</f>
        <v/>
      </c>
      <c r="B17" s="45" t="str">
        <f>IFERROR(LOP_09!$B$24,"")</f>
        <v/>
      </c>
      <c r="C17" s="46" t="str">
        <f>IFERROR(LOP_09!$AH$24,"")</f>
        <v/>
      </c>
      <c r="D17" s="46" t="str">
        <f>IFERROR(LOP_09!$AI$24,"")</f>
        <v/>
      </c>
      <c r="E17" s="41" t="str">
        <f t="shared" si="1"/>
        <v/>
      </c>
      <c r="F17" s="41" t="str">
        <f t="shared" si="2"/>
        <v/>
      </c>
      <c r="G17" s="41" t="str">
        <f>IF(A17="","",SUMIFS(CHUYEN_THANG!$D$4:$D$403,CHUYEN_THANG!$A$4:$A$403,$B$4,CHUYEN_THANG!$B$4:$B$403,A17))</f>
        <v/>
      </c>
      <c r="H17" s="41" t="str">
        <f t="shared" si="3"/>
        <v/>
      </c>
      <c r="I17" s="11"/>
      <c r="J17" s="41" t="str">
        <f t="shared" si="4"/>
        <v/>
      </c>
      <c r="K17" s="41" t="str">
        <f t="shared" si="5"/>
        <v/>
      </c>
      <c r="L17" s="48"/>
      <c r="M17" s="9"/>
      <c r="N17" s="49"/>
      <c r="O17" s="49"/>
    </row>
    <row r="18">
      <c r="A18" s="45" t="str">
        <f>IFERROR(LOP_09!$A$25,"")</f>
        <v/>
      </c>
      <c r="B18" s="45" t="str">
        <f>IFERROR(LOP_09!$B$25,"")</f>
        <v/>
      </c>
      <c r="C18" s="46" t="str">
        <f>IFERROR(LOP_09!$AH$25,"")</f>
        <v/>
      </c>
      <c r="D18" s="46" t="str">
        <f>IFERROR(LOP_09!$AI$25,"")</f>
        <v/>
      </c>
      <c r="E18" s="41" t="str">
        <f t="shared" si="1"/>
        <v/>
      </c>
      <c r="F18" s="41" t="str">
        <f t="shared" si="2"/>
        <v/>
      </c>
      <c r="G18" s="41" t="str">
        <f>IF(A18="","",SUMIFS(CHUYEN_THANG!$D$4:$D$403,CHUYEN_THANG!$A$4:$A$403,$B$4,CHUYEN_THANG!$B$4:$B$403,A18))</f>
        <v/>
      </c>
      <c r="H18" s="41" t="str">
        <f t="shared" si="3"/>
        <v/>
      </c>
      <c r="I18" s="11"/>
      <c r="J18" s="41" t="str">
        <f t="shared" si="4"/>
        <v/>
      </c>
      <c r="K18" s="41" t="str">
        <f t="shared" si="5"/>
        <v/>
      </c>
      <c r="L18" s="48"/>
      <c r="M18" s="9"/>
      <c r="N18" s="49"/>
      <c r="O18" s="49"/>
    </row>
    <row r="19">
      <c r="A19" s="45" t="str">
        <f>IFERROR(LOP_09!$A$26,"")</f>
        <v/>
      </c>
      <c r="B19" s="45" t="str">
        <f>IFERROR(LOP_09!$B$26,"")</f>
        <v/>
      </c>
      <c r="C19" s="46" t="str">
        <f>IFERROR(LOP_09!$AH$26,"")</f>
        <v/>
      </c>
      <c r="D19" s="46" t="str">
        <f>IFERROR(LOP_09!$AI$26,"")</f>
        <v/>
      </c>
      <c r="E19" s="41" t="str">
        <f t="shared" si="1"/>
        <v/>
      </c>
      <c r="F19" s="41" t="str">
        <f t="shared" si="2"/>
        <v/>
      </c>
      <c r="G19" s="41" t="str">
        <f>IF(A19="","",SUMIFS(CHUYEN_THANG!$D$4:$D$403,CHUYEN_THANG!$A$4:$A$403,$B$4,CHUYEN_THANG!$B$4:$B$403,A19))</f>
        <v/>
      </c>
      <c r="H19" s="41" t="str">
        <f t="shared" si="3"/>
        <v/>
      </c>
      <c r="I19" s="11"/>
      <c r="J19" s="41" t="str">
        <f t="shared" si="4"/>
        <v/>
      </c>
      <c r="K19" s="41" t="str">
        <f t="shared" si="5"/>
        <v/>
      </c>
      <c r="L19" s="48"/>
      <c r="M19" s="9"/>
      <c r="N19" s="49"/>
      <c r="O19" s="49"/>
    </row>
    <row r="20">
      <c r="A20" s="45" t="str">
        <f>IFERROR(LOP_09!$A$27,"")</f>
        <v/>
      </c>
      <c r="B20" s="45" t="str">
        <f>IFERROR(LOP_09!$B$27,"")</f>
        <v/>
      </c>
      <c r="C20" s="46" t="str">
        <f>IFERROR(LOP_09!$AH$27,"")</f>
        <v/>
      </c>
      <c r="D20" s="46" t="str">
        <f>IFERROR(LOP_09!$AI$27,"")</f>
        <v/>
      </c>
      <c r="E20" s="41" t="str">
        <f t="shared" si="1"/>
        <v/>
      </c>
      <c r="F20" s="41" t="str">
        <f t="shared" si="2"/>
        <v/>
      </c>
      <c r="G20" s="41" t="str">
        <f>IF(A20="","",SUMIFS(CHUYEN_THANG!$D$4:$D$403,CHUYEN_THANG!$A$4:$A$403,$B$4,CHUYEN_THANG!$B$4:$B$403,A20))</f>
        <v/>
      </c>
      <c r="H20" s="41" t="str">
        <f t="shared" si="3"/>
        <v/>
      </c>
      <c r="I20" s="11"/>
      <c r="J20" s="41" t="str">
        <f t="shared" si="4"/>
        <v/>
      </c>
      <c r="K20" s="41" t="str">
        <f t="shared" si="5"/>
        <v/>
      </c>
      <c r="L20" s="48"/>
      <c r="M20" s="9"/>
      <c r="N20" s="49"/>
      <c r="O20" s="49"/>
    </row>
    <row r="21" ht="15.75" customHeight="1">
      <c r="A21" s="45" t="str">
        <f>IFERROR(LOP_09!$A$28,"")</f>
        <v/>
      </c>
      <c r="B21" s="45" t="str">
        <f>IFERROR(LOP_09!$B$28,"")</f>
        <v/>
      </c>
      <c r="C21" s="46" t="str">
        <f>IFERROR(LOP_09!$AH$28,"")</f>
        <v/>
      </c>
      <c r="D21" s="46" t="str">
        <f>IFERROR(LOP_09!$AI$28,"")</f>
        <v/>
      </c>
      <c r="E21" s="41" t="str">
        <f t="shared" si="1"/>
        <v/>
      </c>
      <c r="F21" s="41" t="str">
        <f t="shared" si="2"/>
        <v/>
      </c>
      <c r="G21" s="41" t="str">
        <f>IF(A21="","",SUMIFS(CHUYEN_THANG!$D$4:$D$403,CHUYEN_THANG!$A$4:$A$403,$B$4,CHUYEN_THANG!$B$4:$B$403,A21))</f>
        <v/>
      </c>
      <c r="H21" s="41" t="str">
        <f t="shared" si="3"/>
        <v/>
      </c>
      <c r="I21" s="11"/>
      <c r="J21" s="41" t="str">
        <f t="shared" si="4"/>
        <v/>
      </c>
      <c r="K21" s="41" t="str">
        <f t="shared" si="5"/>
        <v/>
      </c>
      <c r="L21" s="48"/>
      <c r="M21" s="9"/>
      <c r="N21" s="49"/>
      <c r="O21" s="49"/>
    </row>
    <row r="22" ht="15.75" customHeight="1">
      <c r="A22" s="45" t="str">
        <f>IFERROR(LOP_09!$A$29,"")</f>
        <v/>
      </c>
      <c r="B22" s="45" t="str">
        <f>IFERROR(LOP_09!$B$29,"")</f>
        <v/>
      </c>
      <c r="C22" s="46" t="str">
        <f>IFERROR(LOP_09!$AH$29,"")</f>
        <v/>
      </c>
      <c r="D22" s="46" t="str">
        <f>IFERROR(LOP_09!$AI$29,"")</f>
        <v/>
      </c>
      <c r="E22" s="41" t="str">
        <f t="shared" si="1"/>
        <v/>
      </c>
      <c r="F22" s="41" t="str">
        <f t="shared" si="2"/>
        <v/>
      </c>
      <c r="G22" s="41" t="str">
        <f>IF(A22="","",SUMIFS(CHUYEN_THANG!$D$4:$D$403,CHUYEN_THANG!$A$4:$A$403,$B$4,CHUYEN_THANG!$B$4:$B$403,A22))</f>
        <v/>
      </c>
      <c r="H22" s="41" t="str">
        <f t="shared" si="3"/>
        <v/>
      </c>
      <c r="I22" s="11"/>
      <c r="J22" s="41" t="str">
        <f t="shared" si="4"/>
        <v/>
      </c>
      <c r="K22" s="41" t="str">
        <f t="shared" si="5"/>
        <v/>
      </c>
      <c r="L22" s="48"/>
      <c r="M22" s="9"/>
      <c r="N22" s="49"/>
      <c r="O22" s="49"/>
    </row>
    <row r="23" ht="15.75" customHeight="1">
      <c r="A23" s="45" t="str">
        <f>IFERROR(LOP_09!$A$30,"")</f>
        <v/>
      </c>
      <c r="B23" s="45" t="str">
        <f>IFERROR(LOP_09!$B$30,"")</f>
        <v/>
      </c>
      <c r="C23" s="46" t="str">
        <f>IFERROR(LOP_09!$AH$30,"")</f>
        <v/>
      </c>
      <c r="D23" s="46" t="str">
        <f>IFERROR(LOP_09!$AI$30,"")</f>
        <v/>
      </c>
      <c r="E23" s="41" t="str">
        <f t="shared" si="1"/>
        <v/>
      </c>
      <c r="F23" s="41" t="str">
        <f t="shared" si="2"/>
        <v/>
      </c>
      <c r="G23" s="41" t="str">
        <f>IF(A23="","",SUMIFS(CHUYEN_THANG!$D$4:$D$403,CHUYEN_THANG!$A$4:$A$403,$B$4,CHUYEN_THANG!$B$4:$B$403,A23))</f>
        <v/>
      </c>
      <c r="H23" s="41" t="str">
        <f t="shared" si="3"/>
        <v/>
      </c>
      <c r="I23" s="11"/>
      <c r="J23" s="41" t="str">
        <f t="shared" si="4"/>
        <v/>
      </c>
      <c r="K23" s="41" t="str">
        <f t="shared" si="5"/>
        <v/>
      </c>
      <c r="L23" s="48"/>
      <c r="M23" s="9"/>
      <c r="N23" s="49"/>
      <c r="O23" s="49"/>
    </row>
    <row r="24" ht="15.75" customHeight="1">
      <c r="A24" s="45" t="str">
        <f>IFERROR(LOP_09!$A$31,"")</f>
        <v/>
      </c>
      <c r="B24" s="45" t="str">
        <f>IFERROR(LOP_09!$B$31,"")</f>
        <v/>
      </c>
      <c r="C24" s="46" t="str">
        <f>IFERROR(LOP_09!$AH$31,"")</f>
        <v/>
      </c>
      <c r="D24" s="46" t="str">
        <f>IFERROR(LOP_09!$AI$31,"")</f>
        <v/>
      </c>
      <c r="E24" s="41" t="str">
        <f t="shared" si="1"/>
        <v/>
      </c>
      <c r="F24" s="41" t="str">
        <f t="shared" si="2"/>
        <v/>
      </c>
      <c r="G24" s="41" t="str">
        <f>IF(A24="","",SUMIFS(CHUYEN_THANG!$D$4:$D$403,CHUYEN_THANG!$A$4:$A$403,$B$4,CHUYEN_THANG!$B$4:$B$403,A24))</f>
        <v/>
      </c>
      <c r="H24" s="41" t="str">
        <f t="shared" si="3"/>
        <v/>
      </c>
      <c r="I24" s="11"/>
      <c r="J24" s="41" t="str">
        <f t="shared" si="4"/>
        <v/>
      </c>
      <c r="K24" s="41" t="str">
        <f t="shared" si="5"/>
        <v/>
      </c>
      <c r="L24" s="48"/>
      <c r="M24" s="9"/>
      <c r="N24" s="49"/>
      <c r="O24" s="49"/>
    </row>
    <row r="25" ht="15.75" customHeight="1">
      <c r="A25" s="45" t="str">
        <f>IFERROR(LOP_09!$A$32,"")</f>
        <v/>
      </c>
      <c r="B25" s="45" t="str">
        <f>IFERROR(LOP_09!$B$32,"")</f>
        <v/>
      </c>
      <c r="C25" s="46" t="str">
        <f>IFERROR(LOP_09!$AH$32,"")</f>
        <v/>
      </c>
      <c r="D25" s="46" t="str">
        <f>IFERROR(LOP_09!$AI$32,"")</f>
        <v/>
      </c>
      <c r="E25" s="41" t="str">
        <f t="shared" si="1"/>
        <v/>
      </c>
      <c r="F25" s="41" t="str">
        <f t="shared" si="2"/>
        <v/>
      </c>
      <c r="G25" s="41" t="str">
        <f>IF(A25="","",SUMIFS(CHUYEN_THANG!$D$4:$D$403,CHUYEN_THANG!$A$4:$A$403,$B$4,CHUYEN_THANG!$B$4:$B$403,A25))</f>
        <v/>
      </c>
      <c r="H25" s="41" t="str">
        <f t="shared" si="3"/>
        <v/>
      </c>
      <c r="I25" s="11"/>
      <c r="J25" s="41" t="str">
        <f t="shared" si="4"/>
        <v/>
      </c>
      <c r="K25" s="41" t="str">
        <f t="shared" si="5"/>
        <v/>
      </c>
      <c r="L25" s="48"/>
      <c r="M25" s="9"/>
      <c r="N25" s="49"/>
      <c r="O25" s="49"/>
    </row>
    <row r="26" ht="15.75" customHeight="1">
      <c r="A26" s="45" t="str">
        <f>IFERROR(LOP_09!$A$33,"")</f>
        <v/>
      </c>
      <c r="B26" s="45" t="str">
        <f>IFERROR(LOP_09!$B$33,"")</f>
        <v/>
      </c>
      <c r="C26" s="46" t="str">
        <f>IFERROR(LOP_09!$AH$33,"")</f>
        <v/>
      </c>
      <c r="D26" s="46" t="str">
        <f>IFERROR(LOP_09!$AI$33,"")</f>
        <v/>
      </c>
      <c r="E26" s="41" t="str">
        <f t="shared" si="1"/>
        <v/>
      </c>
      <c r="F26" s="41" t="str">
        <f t="shared" si="2"/>
        <v/>
      </c>
      <c r="G26" s="41" t="str">
        <f>IF(A26="","",SUMIFS(CHUYEN_THANG!$D$4:$D$403,CHUYEN_THANG!$A$4:$A$403,$B$4,CHUYEN_THANG!$B$4:$B$403,A26))</f>
        <v/>
      </c>
      <c r="H26" s="41" t="str">
        <f t="shared" si="3"/>
        <v/>
      </c>
      <c r="I26" s="11"/>
      <c r="J26" s="41" t="str">
        <f t="shared" si="4"/>
        <v/>
      </c>
      <c r="K26" s="41" t="str">
        <f t="shared" si="5"/>
        <v/>
      </c>
      <c r="L26" s="48"/>
      <c r="M26" s="9"/>
      <c r="N26" s="49"/>
      <c r="O26" s="49"/>
    </row>
    <row r="27" ht="15.75" customHeight="1">
      <c r="A27" s="45" t="str">
        <f>IFERROR(LOP_09!$A$34,"")</f>
        <v/>
      </c>
      <c r="B27" s="45" t="str">
        <f>IFERROR(LOP_09!$B$34,"")</f>
        <v/>
      </c>
      <c r="C27" s="46" t="str">
        <f>IFERROR(LOP_09!$AH$34,"")</f>
        <v/>
      </c>
      <c r="D27" s="46" t="str">
        <f>IFERROR(LOP_09!$AI$34,"")</f>
        <v/>
      </c>
      <c r="E27" s="41" t="str">
        <f t="shared" si="1"/>
        <v/>
      </c>
      <c r="F27" s="41" t="str">
        <f t="shared" si="2"/>
        <v/>
      </c>
      <c r="G27" s="41" t="str">
        <f>IF(A27="","",SUMIFS(CHUYEN_THANG!$D$4:$D$403,CHUYEN_THANG!$A$4:$A$403,$B$4,CHUYEN_THANG!$B$4:$B$403,A27))</f>
        <v/>
      </c>
      <c r="H27" s="41" t="str">
        <f t="shared" si="3"/>
        <v/>
      </c>
      <c r="I27" s="11"/>
      <c r="J27" s="41" t="str">
        <f t="shared" si="4"/>
        <v/>
      </c>
      <c r="K27" s="41" t="str">
        <f t="shared" si="5"/>
        <v/>
      </c>
      <c r="L27" s="48"/>
      <c r="M27" s="9"/>
      <c r="N27" s="49"/>
      <c r="O27" s="49"/>
    </row>
    <row r="28" ht="15.75" customHeight="1">
      <c r="A28" s="45" t="str">
        <f>IFERROR(LOP_09!$A$35,"")</f>
        <v/>
      </c>
      <c r="B28" s="45" t="str">
        <f>IFERROR(LOP_09!$B$35,"")</f>
        <v/>
      </c>
      <c r="C28" s="46" t="str">
        <f>IFERROR(LOP_09!$AH$35,"")</f>
        <v/>
      </c>
      <c r="D28" s="46" t="str">
        <f>IFERROR(LOP_09!$AI$35,"")</f>
        <v/>
      </c>
      <c r="E28" s="41" t="str">
        <f t="shared" si="1"/>
        <v/>
      </c>
      <c r="F28" s="41" t="str">
        <f t="shared" si="2"/>
        <v/>
      </c>
      <c r="G28" s="41" t="str">
        <f>IF(A28="","",SUMIFS(CHUYEN_THANG!$D$4:$D$403,CHUYEN_THANG!$A$4:$A$403,$B$4,CHUYEN_THANG!$B$4:$B$403,A28))</f>
        <v/>
      </c>
      <c r="H28" s="41" t="str">
        <f t="shared" si="3"/>
        <v/>
      </c>
      <c r="I28" s="11"/>
      <c r="J28" s="41" t="str">
        <f t="shared" si="4"/>
        <v/>
      </c>
      <c r="K28" s="41" t="str">
        <f t="shared" si="5"/>
        <v/>
      </c>
      <c r="L28" s="48"/>
      <c r="M28" s="9"/>
      <c r="N28" s="49"/>
      <c r="O28" s="49"/>
    </row>
    <row r="29" ht="15.75" customHeight="1">
      <c r="A29" s="45" t="str">
        <f>IFERROR(LOP_09!$A$36,"")</f>
        <v/>
      </c>
      <c r="B29" s="45" t="str">
        <f>IFERROR(LOP_09!$B$36,"")</f>
        <v/>
      </c>
      <c r="C29" s="46" t="str">
        <f>IFERROR(LOP_09!$AH$36,"")</f>
        <v/>
      </c>
      <c r="D29" s="46" t="str">
        <f>IFERROR(LOP_09!$AI$36,"")</f>
        <v/>
      </c>
      <c r="E29" s="41" t="str">
        <f t="shared" si="1"/>
        <v/>
      </c>
      <c r="F29" s="41" t="str">
        <f t="shared" si="2"/>
        <v/>
      </c>
      <c r="G29" s="41" t="str">
        <f>IF(A29="","",SUMIFS(CHUYEN_THANG!$D$4:$D$403,CHUYEN_THANG!$A$4:$A$403,$B$4,CHUYEN_THANG!$B$4:$B$403,A29))</f>
        <v/>
      </c>
      <c r="H29" s="41" t="str">
        <f t="shared" si="3"/>
        <v/>
      </c>
      <c r="I29" s="11"/>
      <c r="J29" s="41" t="str">
        <f t="shared" si="4"/>
        <v/>
      </c>
      <c r="K29" s="41" t="str">
        <f t="shared" si="5"/>
        <v/>
      </c>
      <c r="L29" s="48"/>
      <c r="M29" s="9"/>
      <c r="N29" s="49"/>
      <c r="O29" s="49"/>
    </row>
    <row r="30" ht="15.75" customHeight="1">
      <c r="A30" s="45" t="str">
        <f>IFERROR(LOP_09!$A$37,"")</f>
        <v/>
      </c>
      <c r="B30" s="45" t="str">
        <f>IFERROR(LOP_09!$B$37,"")</f>
        <v/>
      </c>
      <c r="C30" s="46" t="str">
        <f>IFERROR(LOP_09!$AH$37,"")</f>
        <v/>
      </c>
      <c r="D30" s="46" t="str">
        <f>IFERROR(LOP_09!$AI$37,"")</f>
        <v/>
      </c>
      <c r="E30" s="41" t="str">
        <f t="shared" si="1"/>
        <v/>
      </c>
      <c r="F30" s="41" t="str">
        <f t="shared" si="2"/>
        <v/>
      </c>
      <c r="G30" s="41" t="str">
        <f>IF(A30="","",SUMIFS(CHUYEN_THANG!$D$4:$D$403,CHUYEN_THANG!$A$4:$A$403,$B$4,CHUYEN_THANG!$B$4:$B$403,A30))</f>
        <v/>
      </c>
      <c r="H30" s="41" t="str">
        <f t="shared" si="3"/>
        <v/>
      </c>
      <c r="I30" s="11"/>
      <c r="J30" s="41" t="str">
        <f t="shared" si="4"/>
        <v/>
      </c>
      <c r="K30" s="41" t="str">
        <f t="shared" si="5"/>
        <v/>
      </c>
      <c r="L30" s="48"/>
      <c r="M30" s="9"/>
      <c r="N30" s="49"/>
      <c r="O30" s="49"/>
    </row>
    <row r="31" ht="15.75" customHeight="1">
      <c r="A31" s="45" t="str">
        <f>IFERROR(LOP_09!$A$38,"")</f>
        <v/>
      </c>
      <c r="B31" s="45" t="str">
        <f>IFERROR(LOP_09!$B$38,"")</f>
        <v/>
      </c>
      <c r="C31" s="46" t="str">
        <f>IFERROR(LOP_09!$AH$38,"")</f>
        <v/>
      </c>
      <c r="D31" s="46" t="str">
        <f>IFERROR(LOP_09!$AI$38,"")</f>
        <v/>
      </c>
      <c r="E31" s="41" t="str">
        <f t="shared" si="1"/>
        <v/>
      </c>
      <c r="F31" s="41" t="str">
        <f t="shared" si="2"/>
        <v/>
      </c>
      <c r="G31" s="41" t="str">
        <f>IF(A31="","",SUMIFS(CHUYEN_THANG!$D$4:$D$403,CHUYEN_THANG!$A$4:$A$403,$B$4,CHUYEN_THANG!$B$4:$B$403,A31))</f>
        <v/>
      </c>
      <c r="H31" s="41" t="str">
        <f t="shared" si="3"/>
        <v/>
      </c>
      <c r="I31" s="11"/>
      <c r="J31" s="41" t="str">
        <f t="shared" si="4"/>
        <v/>
      </c>
      <c r="K31" s="41" t="str">
        <f t="shared" si="5"/>
        <v/>
      </c>
      <c r="L31" s="48"/>
      <c r="M31" s="9"/>
      <c r="N31" s="49"/>
      <c r="O31" s="49"/>
    </row>
    <row r="32" ht="15.75" customHeight="1">
      <c r="A32" s="45" t="str">
        <f>IFERROR(LOP_09!$A$39,"")</f>
        <v/>
      </c>
      <c r="B32" s="45" t="str">
        <f>IFERROR(LOP_09!$B$39,"")</f>
        <v/>
      </c>
      <c r="C32" s="46" t="str">
        <f>IFERROR(LOP_09!$AH$39,"")</f>
        <v/>
      </c>
      <c r="D32" s="46" t="str">
        <f>IFERROR(LOP_09!$AI$39,"")</f>
        <v/>
      </c>
      <c r="E32" s="41" t="str">
        <f t="shared" si="1"/>
        <v/>
      </c>
      <c r="F32" s="41" t="str">
        <f t="shared" si="2"/>
        <v/>
      </c>
      <c r="G32" s="41" t="str">
        <f>IF(A32="","",SUMIFS(CHUYEN_THANG!$D$4:$D$403,CHUYEN_THANG!$A$4:$A$403,$B$4,CHUYEN_THANG!$B$4:$B$403,A32))</f>
        <v/>
      </c>
      <c r="H32" s="41" t="str">
        <f t="shared" si="3"/>
        <v/>
      </c>
      <c r="I32" s="11"/>
      <c r="J32" s="41" t="str">
        <f t="shared" si="4"/>
        <v/>
      </c>
      <c r="K32" s="41" t="str">
        <f t="shared" si="5"/>
        <v/>
      </c>
      <c r="L32" s="48"/>
      <c r="M32" s="9"/>
      <c r="N32" s="49"/>
      <c r="O32" s="49"/>
    </row>
    <row r="33" ht="15.75" customHeight="1">
      <c r="A33" s="45" t="str">
        <f>IFERROR(LOP_09!$A$40,"")</f>
        <v/>
      </c>
      <c r="B33" s="45" t="str">
        <f>IFERROR(LOP_09!$B$40,"")</f>
        <v/>
      </c>
      <c r="C33" s="46" t="str">
        <f>IFERROR(LOP_09!$AH$40,"")</f>
        <v/>
      </c>
      <c r="D33" s="46" t="str">
        <f>IFERROR(LOP_09!$AI$40,"")</f>
        <v/>
      </c>
      <c r="E33" s="41" t="str">
        <f t="shared" si="1"/>
        <v/>
      </c>
      <c r="F33" s="41" t="str">
        <f t="shared" si="2"/>
        <v/>
      </c>
      <c r="G33" s="41" t="str">
        <f>IF(A33="","",SUMIFS(CHUYEN_THANG!$D$4:$D$403,CHUYEN_THANG!$A$4:$A$403,$B$4,CHUYEN_THANG!$B$4:$B$403,A33))</f>
        <v/>
      </c>
      <c r="H33" s="41" t="str">
        <f t="shared" si="3"/>
        <v/>
      </c>
      <c r="I33" s="11"/>
      <c r="J33" s="41" t="str">
        <f t="shared" si="4"/>
        <v/>
      </c>
      <c r="K33" s="41" t="str">
        <f t="shared" si="5"/>
        <v/>
      </c>
      <c r="L33" s="48"/>
      <c r="M33" s="9"/>
      <c r="N33" s="49"/>
      <c r="O33" s="49"/>
    </row>
    <row r="34" ht="15.75" customHeight="1">
      <c r="A34" s="45" t="str">
        <f>IFERROR(LOP_09!$A$41,"")</f>
        <v/>
      </c>
      <c r="B34" s="45" t="str">
        <f>IFERROR(LOP_09!$B$41,"")</f>
        <v/>
      </c>
      <c r="C34" s="46" t="str">
        <f>IFERROR(LOP_09!$AH$41,"")</f>
        <v/>
      </c>
      <c r="D34" s="46" t="str">
        <f>IFERROR(LOP_09!$AI$41,"")</f>
        <v/>
      </c>
      <c r="E34" s="41" t="str">
        <f t="shared" si="1"/>
        <v/>
      </c>
      <c r="F34" s="41" t="str">
        <f t="shared" si="2"/>
        <v/>
      </c>
      <c r="G34" s="41" t="str">
        <f>IF(A34="","",SUMIFS(CHUYEN_THANG!$D$4:$D$403,CHUYEN_THANG!$A$4:$A$403,$B$4,CHUYEN_THANG!$B$4:$B$403,A34))</f>
        <v/>
      </c>
      <c r="H34" s="41" t="str">
        <f t="shared" si="3"/>
        <v/>
      </c>
      <c r="I34" s="11"/>
      <c r="J34" s="41" t="str">
        <f t="shared" si="4"/>
        <v/>
      </c>
      <c r="K34" s="41" t="str">
        <f t="shared" si="5"/>
        <v/>
      </c>
      <c r="L34" s="48"/>
      <c r="M34" s="9"/>
      <c r="N34" s="49"/>
      <c r="O34" s="49"/>
    </row>
    <row r="35" ht="15.75" customHeight="1">
      <c r="A35" s="45" t="str">
        <f>IFERROR(LOP_09!$A$42,"")</f>
        <v/>
      </c>
      <c r="B35" s="45" t="str">
        <f>IFERROR(LOP_09!$B$42,"")</f>
        <v/>
      </c>
      <c r="C35" s="46" t="str">
        <f>IFERROR(LOP_09!$AH$42,"")</f>
        <v/>
      </c>
      <c r="D35" s="46" t="str">
        <f>IFERROR(LOP_09!$AI$42,"")</f>
        <v/>
      </c>
      <c r="E35" s="41" t="str">
        <f t="shared" si="1"/>
        <v/>
      </c>
      <c r="F35" s="41" t="str">
        <f t="shared" si="2"/>
        <v/>
      </c>
      <c r="G35" s="41" t="str">
        <f>IF(A35="","",SUMIFS(CHUYEN_THANG!$D$4:$D$403,CHUYEN_THANG!$A$4:$A$403,$B$4,CHUYEN_THANG!$B$4:$B$403,A35))</f>
        <v/>
      </c>
      <c r="H35" s="41" t="str">
        <f t="shared" si="3"/>
        <v/>
      </c>
      <c r="I35" s="11"/>
      <c r="J35" s="41" t="str">
        <f t="shared" si="4"/>
        <v/>
      </c>
      <c r="K35" s="41" t="str">
        <f t="shared" si="5"/>
        <v/>
      </c>
      <c r="L35" s="48"/>
      <c r="M35" s="9"/>
      <c r="N35" s="49"/>
      <c r="O35" s="49"/>
    </row>
    <row r="36" ht="15.75" customHeight="1">
      <c r="A36" s="45" t="str">
        <f>IFERROR(LOP_09!$A$43,"")</f>
        <v/>
      </c>
      <c r="B36" s="45" t="str">
        <f>IFERROR(LOP_09!$B$43,"")</f>
        <v/>
      </c>
      <c r="C36" s="46" t="str">
        <f>IFERROR(LOP_09!$AH$43,"")</f>
        <v/>
      </c>
      <c r="D36" s="46" t="str">
        <f>IFERROR(LOP_09!$AI$43,"")</f>
        <v/>
      </c>
      <c r="E36" s="41" t="str">
        <f t="shared" si="1"/>
        <v/>
      </c>
      <c r="F36" s="41" t="str">
        <f t="shared" si="2"/>
        <v/>
      </c>
      <c r="G36" s="41" t="str">
        <f>IF(A36="","",SUMIFS(CHUYEN_THANG!$D$4:$D$403,CHUYEN_THANG!$A$4:$A$403,$B$4,CHUYEN_THANG!$B$4:$B$403,A36))</f>
        <v/>
      </c>
      <c r="H36" s="41" t="str">
        <f t="shared" si="3"/>
        <v/>
      </c>
      <c r="I36" s="11"/>
      <c r="J36" s="41" t="str">
        <f t="shared" si="4"/>
        <v/>
      </c>
      <c r="K36" s="41" t="str">
        <f t="shared" si="5"/>
        <v/>
      </c>
      <c r="L36" s="48"/>
      <c r="M36" s="9"/>
      <c r="N36" s="49"/>
      <c r="O36" s="49"/>
    </row>
    <row r="37" ht="15.75" customHeight="1">
      <c r="A37" s="45" t="str">
        <f>IFERROR(LOP_09!$A$44,"")</f>
        <v/>
      </c>
      <c r="B37" s="45" t="str">
        <f>IFERROR(LOP_09!$B$44,"")</f>
        <v/>
      </c>
      <c r="C37" s="46" t="str">
        <f>IFERROR(LOP_09!$AH$44,"")</f>
        <v/>
      </c>
      <c r="D37" s="46" t="str">
        <f>IFERROR(LOP_09!$AI$44,"")</f>
        <v/>
      </c>
      <c r="E37" s="41" t="str">
        <f t="shared" si="1"/>
        <v/>
      </c>
      <c r="F37" s="41" t="str">
        <f t="shared" si="2"/>
        <v/>
      </c>
      <c r="G37" s="41" t="str">
        <f>IF(A37="","",SUMIFS(CHUYEN_THANG!$D$4:$D$403,CHUYEN_THANG!$A$4:$A$403,$B$4,CHUYEN_THANG!$B$4:$B$403,A37))</f>
        <v/>
      </c>
      <c r="H37" s="41" t="str">
        <f t="shared" si="3"/>
        <v/>
      </c>
      <c r="I37" s="11"/>
      <c r="J37" s="41" t="str">
        <f t="shared" si="4"/>
        <v/>
      </c>
      <c r="K37" s="41" t="str">
        <f t="shared" si="5"/>
        <v/>
      </c>
      <c r="L37" s="48"/>
      <c r="M37" s="9"/>
      <c r="N37" s="49"/>
      <c r="O37" s="49"/>
    </row>
    <row r="38" ht="15.75" customHeight="1">
      <c r="A38" s="45" t="str">
        <f>IFERROR(LOP_09!$A$45,"")</f>
        <v/>
      </c>
      <c r="B38" s="45" t="str">
        <f>IFERROR(LOP_09!$B$45,"")</f>
        <v/>
      </c>
      <c r="C38" s="46" t="str">
        <f>IFERROR(LOP_09!$AH$45,"")</f>
        <v/>
      </c>
      <c r="D38" s="46" t="str">
        <f>IFERROR(LOP_09!$AI$45,"")</f>
        <v/>
      </c>
      <c r="E38" s="41" t="str">
        <f t="shared" si="1"/>
        <v/>
      </c>
      <c r="F38" s="41" t="str">
        <f t="shared" si="2"/>
        <v/>
      </c>
      <c r="G38" s="41" t="str">
        <f>IF(A38="","",SUMIFS(CHUYEN_THANG!$D$4:$D$403,CHUYEN_THANG!$A$4:$A$403,$B$4,CHUYEN_THANG!$B$4:$B$403,A38))</f>
        <v/>
      </c>
      <c r="H38" s="41" t="str">
        <f t="shared" si="3"/>
        <v/>
      </c>
      <c r="I38" s="11"/>
      <c r="J38" s="41" t="str">
        <f t="shared" si="4"/>
        <v/>
      </c>
      <c r="K38" s="41" t="str">
        <f t="shared" si="5"/>
        <v/>
      </c>
      <c r="L38" s="48"/>
      <c r="M38" s="9"/>
      <c r="N38" s="49"/>
      <c r="O38" s="49"/>
    </row>
    <row r="39" ht="15.75" customHeight="1">
      <c r="A39" s="45" t="str">
        <f>IFERROR(LOP_09!$A$46,"")</f>
        <v/>
      </c>
      <c r="B39" s="45" t="str">
        <f>IFERROR(LOP_09!$B$46,"")</f>
        <v/>
      </c>
      <c r="C39" s="46" t="str">
        <f>IFERROR(LOP_09!$AH$46,"")</f>
        <v/>
      </c>
      <c r="D39" s="46" t="str">
        <f>IFERROR(LOP_09!$AI$46,"")</f>
        <v/>
      </c>
      <c r="E39" s="41" t="str">
        <f t="shared" si="1"/>
        <v/>
      </c>
      <c r="F39" s="41" t="str">
        <f t="shared" si="2"/>
        <v/>
      </c>
      <c r="G39" s="41" t="str">
        <f>IF(A39="","",SUMIFS(CHUYEN_THANG!$D$4:$D$403,CHUYEN_THANG!$A$4:$A$403,$B$4,CHUYEN_THANG!$B$4:$B$403,A39))</f>
        <v/>
      </c>
      <c r="H39" s="41" t="str">
        <f t="shared" si="3"/>
        <v/>
      </c>
      <c r="I39" s="11"/>
      <c r="J39" s="41" t="str">
        <f t="shared" si="4"/>
        <v/>
      </c>
      <c r="K39" s="41" t="str">
        <f t="shared" si="5"/>
        <v/>
      </c>
      <c r="L39" s="48"/>
      <c r="M39" s="9"/>
      <c r="N39" s="49"/>
      <c r="O39" s="49"/>
    </row>
    <row r="40" ht="15.75" customHeight="1">
      <c r="A40" s="45" t="str">
        <f>IFERROR(LOP_09!$A$47,"")</f>
        <v/>
      </c>
      <c r="B40" s="45" t="str">
        <f>IFERROR(LOP_09!$B$47,"")</f>
        <v/>
      </c>
      <c r="C40" s="46" t="str">
        <f>IFERROR(LOP_09!$AH$47,"")</f>
        <v/>
      </c>
      <c r="D40" s="46" t="str">
        <f>IFERROR(LOP_09!$AI$47,"")</f>
        <v/>
      </c>
      <c r="E40" s="41" t="str">
        <f t="shared" si="1"/>
        <v/>
      </c>
      <c r="F40" s="41" t="str">
        <f t="shared" si="2"/>
        <v/>
      </c>
      <c r="G40" s="41" t="str">
        <f>IF(A40="","",SUMIFS(CHUYEN_THANG!$D$4:$D$403,CHUYEN_THANG!$A$4:$A$403,$B$4,CHUYEN_THANG!$B$4:$B$403,A40))</f>
        <v/>
      </c>
      <c r="H40" s="41" t="str">
        <f t="shared" si="3"/>
        <v/>
      </c>
      <c r="I40" s="11"/>
      <c r="J40" s="41" t="str">
        <f t="shared" si="4"/>
        <v/>
      </c>
      <c r="K40" s="41" t="str">
        <f t="shared" si="5"/>
        <v/>
      </c>
      <c r="L40" s="48"/>
      <c r="M40" s="9"/>
      <c r="N40" s="49"/>
      <c r="O40" s="49"/>
    </row>
    <row r="41" ht="15.75" customHeight="1">
      <c r="A41" s="45" t="str">
        <f>IFERROR(LOP_09!$A$48,"")</f>
        <v/>
      </c>
      <c r="B41" s="45" t="str">
        <f>IFERROR(LOP_09!$B$48,"")</f>
        <v/>
      </c>
      <c r="C41" s="46" t="str">
        <f>IFERROR(LOP_09!$AH$48,"")</f>
        <v/>
      </c>
      <c r="D41" s="46" t="str">
        <f>IFERROR(LOP_09!$AI$48,"")</f>
        <v/>
      </c>
      <c r="E41" s="41" t="str">
        <f t="shared" si="1"/>
        <v/>
      </c>
      <c r="F41" s="41" t="str">
        <f t="shared" si="2"/>
        <v/>
      </c>
      <c r="G41" s="41" t="str">
        <f>IF(A41="","",SUMIFS(CHUYEN_THANG!$D$4:$D$403,CHUYEN_THANG!$A$4:$A$403,$B$4,CHUYEN_THANG!$B$4:$B$403,A41))</f>
        <v/>
      </c>
      <c r="H41" s="41" t="str">
        <f t="shared" si="3"/>
        <v/>
      </c>
      <c r="I41" s="11"/>
      <c r="J41" s="41" t="str">
        <f t="shared" si="4"/>
        <v/>
      </c>
      <c r="K41" s="41" t="str">
        <f t="shared" si="5"/>
        <v/>
      </c>
      <c r="L41" s="48"/>
      <c r="M41" s="9"/>
      <c r="N41" s="49"/>
      <c r="O41" s="49"/>
    </row>
    <row r="42" ht="15.75" customHeight="1">
      <c r="A42" s="45" t="str">
        <f>IFERROR(LOP_09!$A$49,"")</f>
        <v/>
      </c>
      <c r="B42" s="45" t="str">
        <f>IFERROR(LOP_09!$B$49,"")</f>
        <v/>
      </c>
      <c r="C42" s="46" t="str">
        <f>IFERROR(LOP_09!$AH$49,"")</f>
        <v/>
      </c>
      <c r="D42" s="46" t="str">
        <f>IFERROR(LOP_09!$AI$49,"")</f>
        <v/>
      </c>
      <c r="E42" s="41" t="str">
        <f t="shared" si="1"/>
        <v/>
      </c>
      <c r="F42" s="41" t="str">
        <f t="shared" si="2"/>
        <v/>
      </c>
      <c r="G42" s="41" t="str">
        <f>IF(A42="","",SUMIFS(CHUYEN_THANG!$D$4:$D$403,CHUYEN_THANG!$A$4:$A$403,$B$4,CHUYEN_THANG!$B$4:$B$403,A42))</f>
        <v/>
      </c>
      <c r="H42" s="41" t="str">
        <f t="shared" si="3"/>
        <v/>
      </c>
      <c r="I42" s="11"/>
      <c r="J42" s="41" t="str">
        <f t="shared" si="4"/>
        <v/>
      </c>
      <c r="K42" s="41" t="str">
        <f t="shared" si="5"/>
        <v/>
      </c>
      <c r="L42" s="48"/>
      <c r="M42" s="9"/>
      <c r="N42" s="49"/>
      <c r="O42" s="49"/>
    </row>
    <row r="43" ht="15.75" customHeight="1">
      <c r="A43" s="45" t="str">
        <f>IFERROR(LOP_09!$A$50,"")</f>
        <v/>
      </c>
      <c r="B43" s="45" t="str">
        <f>IFERROR(LOP_09!$B$50,"")</f>
        <v/>
      </c>
      <c r="C43" s="46" t="str">
        <f>IFERROR(LOP_09!$AH$50,"")</f>
        <v/>
      </c>
      <c r="D43" s="46" t="str">
        <f>IFERROR(LOP_09!$AI$50,"")</f>
        <v/>
      </c>
      <c r="E43" s="41" t="str">
        <f t="shared" si="1"/>
        <v/>
      </c>
      <c r="F43" s="41" t="str">
        <f t="shared" si="2"/>
        <v/>
      </c>
      <c r="G43" s="41" t="str">
        <f>IF(A43="","",SUMIFS(CHUYEN_THANG!$D$4:$D$403,CHUYEN_THANG!$A$4:$A$403,$B$4,CHUYEN_THANG!$B$4:$B$403,A43))</f>
        <v/>
      </c>
      <c r="H43" s="41" t="str">
        <f t="shared" si="3"/>
        <v/>
      </c>
      <c r="I43" s="11"/>
      <c r="J43" s="41" t="str">
        <f t="shared" si="4"/>
        <v/>
      </c>
      <c r="K43" s="41" t="str">
        <f t="shared" si="5"/>
        <v/>
      </c>
      <c r="L43" s="48"/>
      <c r="M43" s="9"/>
      <c r="N43" s="49"/>
      <c r="O43" s="49"/>
    </row>
    <row r="44" ht="15.75" customHeight="1">
      <c r="A44" s="50"/>
      <c r="B44" s="50"/>
      <c r="C44" s="51"/>
      <c r="D44" s="51"/>
      <c r="E44" s="43"/>
      <c r="F44" s="43"/>
      <c r="G44" s="43"/>
      <c r="H44" s="43"/>
      <c r="I44" s="49"/>
      <c r="J44" s="43"/>
      <c r="K44" s="43"/>
      <c r="L44" s="52"/>
      <c r="M44" s="53"/>
      <c r="N44" s="49"/>
      <c r="O44" s="49"/>
    </row>
    <row r="45" ht="15.75" customHeight="1">
      <c r="A45" s="50"/>
      <c r="B45" s="50"/>
      <c r="C45" s="51"/>
      <c r="D45" s="51"/>
      <c r="E45" s="43"/>
      <c r="F45" s="43"/>
      <c r="G45" s="43"/>
      <c r="H45" s="43"/>
      <c r="I45" s="49"/>
      <c r="J45" s="43"/>
      <c r="K45" s="43"/>
      <c r="L45" s="52"/>
      <c r="M45" s="53"/>
      <c r="N45" s="49"/>
      <c r="O45" s="49"/>
    </row>
    <row r="46" ht="15.75" customHeight="1">
      <c r="A46" s="50"/>
      <c r="B46" s="50"/>
      <c r="C46" s="51"/>
      <c r="D46" s="51"/>
      <c r="E46" s="43"/>
      <c r="F46" s="43"/>
      <c r="G46" s="43"/>
      <c r="H46" s="43"/>
      <c r="I46" s="49"/>
      <c r="J46" s="43"/>
      <c r="K46" s="43"/>
      <c r="L46" s="52"/>
      <c r="M46" s="53"/>
      <c r="N46" s="49"/>
      <c r="O46" s="49"/>
    </row>
    <row r="47" ht="15.75" customHeight="1">
      <c r="A47" s="50"/>
      <c r="B47" s="50"/>
      <c r="C47" s="51"/>
      <c r="D47" s="51"/>
      <c r="E47" s="43"/>
      <c r="F47" s="43"/>
      <c r="G47" s="43"/>
      <c r="H47" s="43"/>
      <c r="I47" s="49"/>
      <c r="J47" s="43"/>
      <c r="K47" s="43"/>
      <c r="L47" s="52"/>
      <c r="M47" s="53"/>
      <c r="N47" s="49"/>
      <c r="O47" s="49"/>
    </row>
    <row r="48" ht="15.75" customHeight="1">
      <c r="A48" s="50"/>
      <c r="B48" s="50"/>
      <c r="C48" s="51"/>
      <c r="D48" s="51"/>
      <c r="E48" s="43"/>
      <c r="F48" s="43"/>
      <c r="G48" s="43"/>
      <c r="H48" s="43"/>
      <c r="I48" s="49"/>
      <c r="J48" s="43"/>
      <c r="K48" s="43"/>
      <c r="L48" s="52"/>
      <c r="M48" s="53"/>
      <c r="N48" s="49"/>
      <c r="O48" s="49"/>
    </row>
    <row r="49" ht="15.75" customHeight="1">
      <c r="A49" s="50"/>
      <c r="B49" s="50"/>
      <c r="C49" s="51"/>
      <c r="D49" s="51"/>
      <c r="E49" s="43"/>
      <c r="F49" s="43"/>
      <c r="G49" s="43"/>
      <c r="H49" s="43"/>
      <c r="I49" s="49"/>
      <c r="J49" s="43"/>
      <c r="K49" s="43"/>
      <c r="L49" s="52"/>
      <c r="M49" s="53"/>
      <c r="N49" s="49"/>
      <c r="O49" s="49"/>
    </row>
    <row r="50" ht="15.75" customHeight="1">
      <c r="A50" s="50"/>
      <c r="B50" s="50"/>
      <c r="C50" s="51"/>
      <c r="D50" s="51"/>
      <c r="E50" s="43"/>
      <c r="F50" s="43"/>
      <c r="G50" s="43"/>
      <c r="H50" s="43"/>
      <c r="I50" s="49"/>
      <c r="J50" s="43"/>
      <c r="K50" s="43"/>
      <c r="L50" s="52"/>
      <c r="M50" s="53"/>
      <c r="N50" s="49"/>
      <c r="O50" s="49"/>
    </row>
    <row r="51" ht="15.75" customHeight="1">
      <c r="A51" s="50"/>
      <c r="B51" s="50"/>
      <c r="C51" s="51"/>
      <c r="D51" s="51"/>
      <c r="E51" s="43"/>
      <c r="F51" s="43"/>
      <c r="G51" s="43"/>
      <c r="H51" s="43"/>
      <c r="I51" s="49"/>
      <c r="J51" s="43"/>
      <c r="K51" s="43"/>
      <c r="L51" s="52"/>
      <c r="M51" s="53"/>
      <c r="N51" s="49"/>
      <c r="O51" s="49"/>
    </row>
    <row r="52" ht="15.75" customHeight="1">
      <c r="A52" s="50"/>
      <c r="B52" s="50"/>
      <c r="C52" s="51"/>
      <c r="D52" s="51"/>
      <c r="E52" s="43"/>
      <c r="F52" s="43"/>
      <c r="G52" s="43"/>
      <c r="H52" s="43"/>
      <c r="I52" s="49"/>
      <c r="J52" s="43"/>
      <c r="K52" s="43"/>
      <c r="L52" s="52"/>
      <c r="M52" s="53"/>
      <c r="N52" s="49"/>
      <c r="O52" s="49"/>
    </row>
    <row r="53" ht="15.75" customHeight="1">
      <c r="A53" s="50"/>
      <c r="B53" s="50"/>
      <c r="C53" s="51"/>
      <c r="D53" s="51"/>
      <c r="E53" s="43"/>
      <c r="F53" s="43"/>
      <c r="G53" s="43"/>
      <c r="H53" s="43"/>
      <c r="I53" s="49"/>
      <c r="J53" s="43"/>
      <c r="K53" s="43"/>
      <c r="L53" s="52"/>
      <c r="M53" s="53"/>
      <c r="N53" s="49"/>
      <c r="O53" s="49"/>
    </row>
    <row r="54" ht="15.75" customHeight="1">
      <c r="A54" s="50"/>
      <c r="B54" s="50"/>
      <c r="C54" s="51"/>
      <c r="D54" s="51"/>
      <c r="E54" s="43"/>
      <c r="F54" s="43"/>
      <c r="G54" s="43"/>
      <c r="H54" s="43"/>
      <c r="I54" s="49"/>
      <c r="J54" s="43"/>
      <c r="K54" s="43"/>
      <c r="L54" s="52"/>
      <c r="M54" s="53"/>
      <c r="N54" s="49"/>
      <c r="O54" s="49"/>
    </row>
    <row r="55" ht="15.75" customHeight="1">
      <c r="A55" s="50"/>
      <c r="B55" s="50"/>
      <c r="C55" s="51"/>
      <c r="D55" s="51"/>
      <c r="E55" s="43"/>
      <c r="F55" s="43"/>
      <c r="G55" s="43"/>
      <c r="H55" s="43"/>
      <c r="I55" s="49"/>
      <c r="J55" s="43"/>
      <c r="K55" s="43"/>
      <c r="L55" s="52"/>
      <c r="M55" s="53"/>
      <c r="N55" s="49"/>
      <c r="O55" s="49"/>
    </row>
    <row r="56" ht="15.75" customHeight="1">
      <c r="A56" s="50"/>
      <c r="B56" s="50"/>
      <c r="C56" s="51"/>
      <c r="D56" s="51"/>
      <c r="E56" s="43"/>
      <c r="F56" s="43"/>
      <c r="G56" s="43"/>
      <c r="H56" s="43"/>
      <c r="I56" s="49"/>
      <c r="J56" s="43"/>
      <c r="K56" s="43"/>
      <c r="L56" s="52"/>
      <c r="M56" s="53"/>
      <c r="N56" s="49"/>
      <c r="O56" s="49"/>
    </row>
    <row r="57" ht="15.75" customHeight="1">
      <c r="A57" s="50"/>
      <c r="B57" s="50"/>
      <c r="C57" s="51"/>
      <c r="D57" s="51"/>
      <c r="E57" s="43"/>
      <c r="F57" s="43"/>
      <c r="G57" s="43"/>
      <c r="H57" s="43"/>
      <c r="I57" s="49"/>
      <c r="J57" s="43"/>
      <c r="K57" s="43"/>
      <c r="L57" s="52"/>
      <c r="M57" s="53"/>
      <c r="N57" s="49"/>
      <c r="O57" s="49"/>
    </row>
    <row r="58" ht="15.75" customHeight="1">
      <c r="A58" s="50"/>
      <c r="B58" s="50"/>
      <c r="C58" s="51"/>
      <c r="D58" s="51"/>
      <c r="E58" s="43"/>
      <c r="F58" s="43"/>
      <c r="G58" s="43"/>
      <c r="H58" s="43"/>
      <c r="I58" s="49"/>
      <c r="J58" s="43"/>
      <c r="K58" s="43"/>
      <c r="L58" s="52"/>
      <c r="M58" s="53"/>
      <c r="N58" s="49"/>
      <c r="O58" s="49"/>
    </row>
    <row r="59" ht="15.75" customHeight="1">
      <c r="A59" s="50"/>
      <c r="B59" s="50"/>
      <c r="C59" s="51"/>
      <c r="D59" s="51"/>
      <c r="E59" s="43"/>
      <c r="F59" s="43"/>
      <c r="G59" s="43"/>
      <c r="H59" s="43"/>
      <c r="I59" s="49"/>
      <c r="J59" s="43"/>
      <c r="K59" s="43"/>
      <c r="L59" s="52"/>
      <c r="M59" s="53"/>
      <c r="N59" s="49"/>
      <c r="O59" s="49"/>
    </row>
    <row r="60" ht="15.75" customHeight="1">
      <c r="A60" s="50"/>
      <c r="B60" s="50"/>
      <c r="C60" s="51"/>
      <c r="D60" s="51"/>
      <c r="E60" s="43"/>
      <c r="F60" s="43"/>
      <c r="G60" s="43"/>
      <c r="H60" s="43"/>
      <c r="I60" s="49"/>
      <c r="J60" s="43"/>
      <c r="K60" s="43"/>
      <c r="L60" s="52"/>
      <c r="M60" s="53"/>
      <c r="N60" s="49"/>
      <c r="O60" s="49"/>
    </row>
    <row r="61" ht="15.75" customHeight="1">
      <c r="A61" s="50"/>
      <c r="B61" s="50"/>
      <c r="C61" s="51"/>
      <c r="D61" s="51"/>
      <c r="E61" s="43"/>
      <c r="F61" s="43"/>
      <c r="G61" s="43"/>
      <c r="H61" s="43"/>
      <c r="I61" s="49"/>
      <c r="J61" s="43"/>
      <c r="K61" s="43"/>
      <c r="L61" s="52"/>
      <c r="M61" s="53"/>
      <c r="N61" s="49"/>
      <c r="O61" s="49"/>
    </row>
    <row r="62" ht="15.75" customHeight="1">
      <c r="A62" s="50"/>
      <c r="B62" s="50"/>
      <c r="C62" s="51"/>
      <c r="D62" s="51"/>
      <c r="E62" s="43"/>
      <c r="F62" s="43"/>
      <c r="G62" s="43"/>
      <c r="H62" s="43"/>
      <c r="I62" s="49"/>
      <c r="J62" s="43"/>
      <c r="K62" s="43"/>
      <c r="L62" s="52"/>
      <c r="M62" s="53"/>
      <c r="N62" s="49"/>
      <c r="O62" s="49"/>
    </row>
    <row r="63" ht="15.75" customHeight="1">
      <c r="A63" s="50"/>
      <c r="B63" s="50"/>
      <c r="C63" s="51"/>
      <c r="D63" s="51"/>
      <c r="E63" s="43"/>
      <c r="F63" s="43"/>
      <c r="G63" s="43"/>
      <c r="H63" s="43"/>
      <c r="I63" s="49"/>
      <c r="J63" s="43"/>
      <c r="K63" s="43"/>
      <c r="L63" s="52"/>
      <c r="M63" s="53"/>
      <c r="N63" s="49"/>
      <c r="O63" s="49"/>
    </row>
    <row r="64" ht="15.75" customHeight="1">
      <c r="A64" s="50"/>
      <c r="B64" s="50"/>
      <c r="C64" s="51"/>
      <c r="D64" s="51"/>
      <c r="E64" s="43"/>
      <c r="F64" s="43"/>
      <c r="G64" s="43"/>
      <c r="H64" s="43"/>
      <c r="I64" s="49"/>
      <c r="J64" s="43"/>
      <c r="K64" s="43"/>
      <c r="L64" s="52"/>
      <c r="M64" s="53"/>
      <c r="N64" s="49"/>
      <c r="O64" s="49"/>
    </row>
    <row r="65" ht="15.75" customHeight="1">
      <c r="A65" s="50"/>
      <c r="B65" s="50"/>
      <c r="C65" s="51"/>
      <c r="D65" s="51"/>
      <c r="E65" s="43"/>
      <c r="F65" s="43"/>
      <c r="G65" s="43"/>
      <c r="H65" s="43"/>
      <c r="I65" s="49"/>
      <c r="J65" s="43"/>
      <c r="K65" s="43"/>
      <c r="L65" s="52"/>
      <c r="M65" s="53"/>
      <c r="N65" s="49"/>
      <c r="O65" s="49"/>
    </row>
    <row r="66" ht="15.75" customHeight="1">
      <c r="A66" s="50"/>
      <c r="B66" s="50"/>
      <c r="C66" s="51"/>
      <c r="D66" s="51"/>
      <c r="E66" s="43"/>
      <c r="F66" s="43"/>
      <c r="G66" s="43"/>
      <c r="H66" s="43"/>
      <c r="I66" s="49"/>
      <c r="J66" s="43"/>
      <c r="K66" s="43"/>
      <c r="L66" s="52"/>
      <c r="M66" s="53"/>
      <c r="N66" s="49"/>
      <c r="O66" s="49"/>
    </row>
    <row r="67" ht="15.75" customHeight="1">
      <c r="A67" s="50"/>
      <c r="B67" s="50"/>
      <c r="C67" s="51"/>
      <c r="D67" s="51"/>
      <c r="E67" s="43"/>
      <c r="F67" s="43"/>
      <c r="G67" s="43"/>
      <c r="H67" s="43"/>
      <c r="I67" s="49"/>
      <c r="J67" s="43"/>
      <c r="K67" s="43"/>
      <c r="L67" s="52"/>
      <c r="M67" s="53"/>
      <c r="N67" s="49"/>
      <c r="O67" s="49"/>
    </row>
    <row r="68" ht="15.75" customHeight="1">
      <c r="A68" s="50"/>
      <c r="B68" s="50"/>
      <c r="C68" s="51"/>
      <c r="D68" s="51"/>
      <c r="E68" s="43"/>
      <c r="F68" s="43"/>
      <c r="G68" s="43"/>
      <c r="H68" s="43"/>
      <c r="I68" s="49"/>
      <c r="J68" s="43"/>
      <c r="K68" s="43"/>
      <c r="L68" s="52"/>
      <c r="M68" s="53"/>
      <c r="N68" s="49"/>
      <c r="O68" s="49"/>
    </row>
    <row r="69" ht="15.75" customHeight="1">
      <c r="A69" s="50"/>
      <c r="B69" s="50"/>
      <c r="C69" s="51"/>
      <c r="D69" s="51"/>
      <c r="E69" s="43"/>
      <c r="F69" s="43"/>
      <c r="G69" s="43"/>
      <c r="H69" s="43"/>
      <c r="I69" s="49"/>
      <c r="J69" s="43"/>
      <c r="K69" s="43"/>
      <c r="L69" s="52"/>
      <c r="M69" s="53"/>
      <c r="N69" s="49"/>
      <c r="O69" s="49"/>
    </row>
    <row r="70" ht="15.75" customHeight="1">
      <c r="A70" s="50"/>
      <c r="B70" s="50"/>
      <c r="C70" s="51"/>
      <c r="D70" s="51"/>
      <c r="E70" s="43"/>
      <c r="F70" s="43"/>
      <c r="G70" s="43"/>
      <c r="H70" s="43"/>
      <c r="I70" s="49"/>
      <c r="J70" s="43"/>
      <c r="K70" s="43"/>
      <c r="L70" s="52"/>
      <c r="M70" s="53"/>
      <c r="N70" s="49"/>
      <c r="O70" s="49"/>
    </row>
    <row r="71" ht="15.75" customHeight="1">
      <c r="A71" s="50"/>
      <c r="B71" s="50"/>
      <c r="C71" s="51"/>
      <c r="D71" s="51"/>
      <c r="E71" s="43"/>
      <c r="F71" s="43"/>
      <c r="G71" s="43"/>
      <c r="H71" s="43"/>
      <c r="I71" s="49"/>
      <c r="J71" s="43"/>
      <c r="K71" s="43"/>
      <c r="L71" s="52"/>
      <c r="M71" s="53"/>
      <c r="N71" s="49"/>
      <c r="O71" s="49"/>
    </row>
    <row r="72" ht="15.75" customHeight="1">
      <c r="A72" s="50"/>
      <c r="B72" s="50"/>
      <c r="C72" s="51"/>
      <c r="D72" s="51"/>
      <c r="E72" s="43"/>
      <c r="F72" s="43"/>
      <c r="G72" s="43"/>
      <c r="H72" s="43"/>
      <c r="I72" s="49"/>
      <c r="J72" s="43"/>
      <c r="K72" s="43"/>
      <c r="L72" s="52"/>
      <c r="M72" s="53"/>
      <c r="N72" s="49"/>
      <c r="O72" s="49"/>
    </row>
    <row r="73" ht="15.75" customHeight="1">
      <c r="A73" s="50"/>
      <c r="B73" s="50"/>
      <c r="C73" s="51"/>
      <c r="D73" s="51"/>
      <c r="E73" s="43"/>
      <c r="F73" s="43"/>
      <c r="G73" s="43"/>
      <c r="H73" s="43"/>
      <c r="I73" s="49"/>
      <c r="J73" s="43"/>
      <c r="K73" s="43"/>
      <c r="L73" s="52"/>
      <c r="M73" s="53"/>
      <c r="N73" s="49"/>
      <c r="O73" s="49"/>
    </row>
    <row r="74" ht="15.75" customHeight="1">
      <c r="A74" s="50"/>
      <c r="B74" s="50"/>
      <c r="C74" s="51"/>
      <c r="D74" s="51"/>
      <c r="E74" s="43"/>
      <c r="F74" s="43"/>
      <c r="G74" s="43"/>
      <c r="H74" s="43"/>
      <c r="I74" s="49"/>
      <c r="J74" s="43"/>
      <c r="K74" s="43"/>
      <c r="L74" s="52"/>
      <c r="M74" s="53"/>
      <c r="N74" s="49"/>
      <c r="O74" s="49"/>
    </row>
    <row r="75" ht="15.75" customHeight="1">
      <c r="A75" s="50"/>
      <c r="B75" s="50"/>
      <c r="C75" s="51"/>
      <c r="D75" s="51"/>
      <c r="E75" s="43"/>
      <c r="F75" s="43"/>
      <c r="G75" s="43"/>
      <c r="H75" s="43"/>
      <c r="I75" s="49"/>
      <c r="J75" s="43"/>
      <c r="K75" s="43"/>
      <c r="L75" s="52"/>
      <c r="M75" s="53"/>
      <c r="N75" s="49"/>
      <c r="O75" s="49"/>
    </row>
    <row r="76" ht="15.75" customHeight="1">
      <c r="A76" s="50"/>
      <c r="B76" s="50"/>
      <c r="C76" s="51"/>
      <c r="D76" s="51"/>
      <c r="E76" s="43"/>
      <c r="F76" s="43"/>
      <c r="G76" s="43"/>
      <c r="H76" s="43"/>
      <c r="I76" s="49"/>
      <c r="J76" s="43"/>
      <c r="K76" s="43"/>
      <c r="L76" s="52"/>
      <c r="M76" s="53"/>
      <c r="N76" s="49"/>
      <c r="O76" s="49"/>
    </row>
    <row r="77" ht="15.75" customHeight="1">
      <c r="A77" s="50"/>
      <c r="B77" s="50"/>
      <c r="C77" s="51"/>
      <c r="D77" s="51"/>
      <c r="E77" s="43"/>
      <c r="F77" s="43"/>
      <c r="G77" s="43"/>
      <c r="H77" s="43"/>
      <c r="I77" s="49"/>
      <c r="J77" s="43"/>
      <c r="K77" s="43"/>
      <c r="L77" s="52"/>
      <c r="M77" s="53"/>
      <c r="N77" s="49"/>
      <c r="O77" s="49"/>
    </row>
    <row r="78" ht="15.75" customHeight="1">
      <c r="A78" s="50"/>
      <c r="B78" s="50"/>
      <c r="C78" s="51"/>
      <c r="D78" s="51"/>
      <c r="E78" s="43"/>
      <c r="F78" s="43"/>
      <c r="G78" s="43"/>
      <c r="H78" s="43"/>
      <c r="I78" s="49"/>
      <c r="J78" s="43"/>
      <c r="K78" s="43"/>
      <c r="L78" s="52"/>
      <c r="M78" s="53"/>
      <c r="N78" s="49"/>
      <c r="O78" s="49"/>
    </row>
    <row r="79" ht="15.75" customHeight="1">
      <c r="A79" s="50"/>
      <c r="B79" s="50"/>
      <c r="C79" s="51"/>
      <c r="D79" s="51"/>
      <c r="E79" s="43"/>
      <c r="F79" s="43"/>
      <c r="G79" s="43"/>
      <c r="H79" s="43"/>
      <c r="I79" s="49"/>
      <c r="J79" s="43"/>
      <c r="K79" s="43"/>
      <c r="L79" s="52"/>
      <c r="M79" s="53"/>
      <c r="N79" s="49"/>
      <c r="O79" s="49"/>
    </row>
    <row r="80" ht="15.75" customHeight="1">
      <c r="A80" s="50"/>
      <c r="B80" s="50"/>
      <c r="C80" s="51"/>
      <c r="D80" s="51"/>
      <c r="E80" s="43"/>
      <c r="F80" s="43"/>
      <c r="G80" s="43"/>
      <c r="H80" s="43"/>
      <c r="I80" s="49"/>
      <c r="J80" s="43"/>
      <c r="K80" s="43"/>
      <c r="L80" s="52"/>
      <c r="M80" s="53"/>
      <c r="N80" s="49"/>
      <c r="O80" s="49"/>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M1"/>
  </mergeCells>
  <conditionalFormatting sqref="J14:J43">
    <cfRule type="cellIs" dxfId="3" priority="1" operator="greaterThan">
      <formula>0</formula>
    </cfRule>
  </conditionalFormatting>
  <conditionalFormatting sqref="J14:J80">
    <cfRule type="expression" dxfId="1" priority="2">
      <formula>J14&gt;0</formula>
    </cfRule>
  </conditionalFormatting>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25.0"/>
    <col customWidth="1" min="3" max="4" width="9.0"/>
    <col customWidth="1" min="5" max="7" width="16.0"/>
    <col customWidth="1" min="8" max="10" width="13.0"/>
    <col customWidth="1" min="11" max="11" width="16.0"/>
    <col customWidth="1" min="12" max="12" width="13.0"/>
    <col customWidth="1" min="13" max="13" width="32.0"/>
    <col customWidth="1" min="14" max="15" width="16.0"/>
  </cols>
  <sheetData>
    <row r="1" ht="30.0" customHeight="1">
      <c r="A1" s="1" t="s">
        <v>129</v>
      </c>
      <c r="N1" s="2"/>
      <c r="O1" s="2"/>
    </row>
    <row r="2">
      <c r="A2" s="3"/>
      <c r="B2" s="3"/>
      <c r="C2" s="3"/>
      <c r="D2" s="3"/>
      <c r="E2" s="3"/>
      <c r="F2" s="3"/>
      <c r="G2" s="3"/>
      <c r="H2" s="3"/>
      <c r="I2" s="3"/>
      <c r="J2" s="3"/>
      <c r="K2" s="3"/>
      <c r="L2" s="3"/>
      <c r="M2" s="3"/>
      <c r="N2" s="3"/>
      <c r="O2" s="3"/>
    </row>
    <row r="3">
      <c r="A3" s="4" t="s">
        <v>95</v>
      </c>
      <c r="B3" s="4" t="s">
        <v>6</v>
      </c>
      <c r="C3" s="3"/>
      <c r="D3" s="4" t="s">
        <v>96</v>
      </c>
      <c r="E3" s="4" t="s">
        <v>6</v>
      </c>
      <c r="F3" s="3"/>
      <c r="G3" s="3"/>
      <c r="H3" s="3"/>
      <c r="I3" s="3"/>
      <c r="J3" s="3"/>
      <c r="K3" s="3"/>
      <c r="L3" s="3"/>
      <c r="M3" s="3"/>
      <c r="N3" s="3"/>
      <c r="O3" s="3"/>
    </row>
    <row r="4">
      <c r="A4" s="38" t="s">
        <v>10</v>
      </c>
      <c r="B4" s="39" t="str">
        <f>IF(DANH_MUC_LOP!B13="","",DANH_MUC_LOP!B13)</f>
        <v/>
      </c>
      <c r="C4" s="3"/>
      <c r="D4" s="40" t="s">
        <v>97</v>
      </c>
      <c r="E4" s="41">
        <f>SUM(J14:J43)</f>
        <v>0</v>
      </c>
      <c r="F4" s="3"/>
      <c r="G4" s="3"/>
      <c r="H4" s="3"/>
      <c r="I4" s="3"/>
      <c r="J4" s="3"/>
      <c r="K4" s="3"/>
      <c r="L4" s="3"/>
      <c r="M4" s="3"/>
      <c r="N4" s="3"/>
      <c r="O4" s="3"/>
    </row>
    <row r="5">
      <c r="A5" s="38" t="s">
        <v>19</v>
      </c>
      <c r="B5" s="39" t="str">
        <f>IF(DANH_MUC_LOP!C13="","",DANH_MUC_LOP!C13)</f>
        <v/>
      </c>
      <c r="C5" s="3"/>
      <c r="D5" s="40" t="s">
        <v>65</v>
      </c>
      <c r="E5" s="41">
        <f>SUM(K14:K43)</f>
        <v>0</v>
      </c>
      <c r="F5" s="3"/>
      <c r="G5" s="3"/>
      <c r="H5" s="3"/>
      <c r="I5" s="3"/>
      <c r="J5" s="3"/>
      <c r="K5" s="3"/>
      <c r="L5" s="3"/>
      <c r="M5" s="3"/>
      <c r="N5" s="3"/>
      <c r="O5" s="3"/>
    </row>
    <row r="6">
      <c r="A6" s="38" t="s">
        <v>98</v>
      </c>
      <c r="B6" s="39" t="str">
        <f>IFERROR(IF(DANH_MUC_LOP!R13&gt;0,DANH_MUC_LOP!R13,LOP_10!$B$16),0)</f>
        <v/>
      </c>
      <c r="C6" s="3"/>
      <c r="D6" s="40" t="s">
        <v>99</v>
      </c>
      <c r="E6" s="41">
        <f>IF(B4="",0,SUMIF(THUONG_HOC_SINH!$A$4:$A$83,B4,THUONG_HOC_SINH!$D$4:$D$83))</f>
        <v>0</v>
      </c>
      <c r="F6" s="3"/>
      <c r="G6" s="3"/>
      <c r="H6" s="3"/>
      <c r="I6" s="3"/>
      <c r="J6" s="3"/>
      <c r="K6" s="3"/>
      <c r="L6" s="3"/>
      <c r="M6" s="3"/>
      <c r="N6" s="3"/>
      <c r="O6" s="3"/>
    </row>
    <row r="7">
      <c r="A7" s="38" t="s">
        <v>23</v>
      </c>
      <c r="B7" s="41" t="str">
        <f>IF(DANH_MUC_LOP!B13="","",DANH_MUC_LOP!F13)</f>
        <v/>
      </c>
      <c r="C7" s="3"/>
      <c r="D7" s="42"/>
      <c r="E7" s="43"/>
      <c r="F7" s="3"/>
      <c r="G7" s="3"/>
      <c r="H7" s="3"/>
      <c r="I7" s="3"/>
      <c r="J7" s="3"/>
      <c r="K7" s="3"/>
      <c r="L7" s="3"/>
      <c r="M7" s="3"/>
      <c r="N7" s="3"/>
      <c r="O7" s="3"/>
    </row>
    <row r="8">
      <c r="A8" s="38" t="s">
        <v>31</v>
      </c>
      <c r="B8" s="39" t="str">
        <f>IF(DANH_MUC_LOP!B13="","",DANH_MUC_LOP!N13)</f>
        <v/>
      </c>
      <c r="C8" s="3"/>
      <c r="D8" s="42"/>
      <c r="E8" s="43"/>
      <c r="F8" s="3"/>
      <c r="G8" s="3"/>
      <c r="H8" s="3"/>
      <c r="I8" s="3"/>
      <c r="J8" s="3"/>
      <c r="K8" s="3"/>
      <c r="L8" s="3"/>
      <c r="M8" s="3"/>
      <c r="N8" s="3"/>
      <c r="O8" s="3"/>
    </row>
    <row r="9">
      <c r="A9" s="38" t="s">
        <v>100</v>
      </c>
      <c r="B9" s="39">
        <f>COUNTIF(A14:A43,"?*")</f>
        <v>0</v>
      </c>
      <c r="C9" s="3"/>
      <c r="D9" s="42"/>
      <c r="E9" s="43"/>
      <c r="F9" s="3"/>
      <c r="G9" s="3"/>
      <c r="H9" s="3"/>
      <c r="I9" s="3"/>
      <c r="J9" s="3"/>
      <c r="K9" s="3"/>
      <c r="L9" s="3"/>
      <c r="M9" s="3"/>
      <c r="N9" s="3"/>
      <c r="O9" s="3"/>
    </row>
    <row r="10">
      <c r="A10" s="38" t="s">
        <v>101</v>
      </c>
      <c r="B10" s="41">
        <f>SUM(H14:H43)</f>
        <v>0</v>
      </c>
      <c r="C10" s="3"/>
      <c r="D10" s="42"/>
      <c r="E10" s="43"/>
      <c r="F10" s="3"/>
      <c r="G10" s="3"/>
      <c r="H10" s="3"/>
      <c r="I10" s="3"/>
      <c r="J10" s="3"/>
      <c r="K10" s="3"/>
      <c r="L10" s="3"/>
      <c r="M10" s="3"/>
      <c r="N10" s="3"/>
      <c r="O10" s="3"/>
    </row>
    <row r="11">
      <c r="A11" s="38" t="s">
        <v>102</v>
      </c>
      <c r="B11" s="41">
        <f>SUM(I14:I43)</f>
        <v>0</v>
      </c>
      <c r="C11" s="3"/>
      <c r="D11" s="42"/>
      <c r="E11" s="43"/>
      <c r="F11" s="3"/>
      <c r="G11" s="3"/>
      <c r="H11" s="3"/>
      <c r="I11" s="3"/>
      <c r="J11" s="3"/>
      <c r="K11" s="3"/>
      <c r="L11" s="3"/>
      <c r="M11" s="3"/>
      <c r="N11" s="3"/>
      <c r="O11" s="3"/>
    </row>
    <row r="12">
      <c r="A12" s="3"/>
      <c r="B12" s="3"/>
      <c r="C12" s="3"/>
      <c r="D12" s="3"/>
      <c r="E12" s="3"/>
      <c r="F12" s="3"/>
      <c r="G12" s="3"/>
      <c r="H12" s="3"/>
      <c r="I12" s="3"/>
      <c r="J12" s="3"/>
      <c r="K12" s="3"/>
      <c r="L12" s="3"/>
      <c r="M12" s="3"/>
      <c r="N12" s="3"/>
      <c r="O12" s="3"/>
    </row>
    <row r="13" ht="27.75" customHeight="1">
      <c r="A13" s="5" t="s">
        <v>14</v>
      </c>
      <c r="B13" s="5" t="s">
        <v>16</v>
      </c>
      <c r="C13" s="5" t="s">
        <v>104</v>
      </c>
      <c r="D13" s="5" t="s">
        <v>105</v>
      </c>
      <c r="E13" s="5" t="s">
        <v>106</v>
      </c>
      <c r="F13" s="5" t="s">
        <v>107</v>
      </c>
      <c r="G13" s="5" t="s">
        <v>64</v>
      </c>
      <c r="H13" s="5" t="s">
        <v>108</v>
      </c>
      <c r="I13" s="5" t="s">
        <v>102</v>
      </c>
      <c r="J13" s="5" t="s">
        <v>97</v>
      </c>
      <c r="K13" s="5" t="s">
        <v>65</v>
      </c>
      <c r="L13" s="5" t="s">
        <v>109</v>
      </c>
      <c r="M13" s="5" t="s">
        <v>15</v>
      </c>
      <c r="N13" s="5" t="s">
        <v>110</v>
      </c>
      <c r="O13" s="5" t="s">
        <v>111</v>
      </c>
    </row>
    <row r="14">
      <c r="A14" s="45" t="str">
        <f>IFERROR(LOP_10!$A$21,"")</f>
        <v/>
      </c>
      <c r="B14" s="45" t="str">
        <f>IFERROR(LOP_10!$B$21,"")</f>
        <v/>
      </c>
      <c r="C14" s="46" t="str">
        <f>IFERROR(LOP_10!$AH$21,"")</f>
        <v/>
      </c>
      <c r="D14" s="46" t="str">
        <f>IFERROR(LOP_10!$AI$21,"")</f>
        <v/>
      </c>
      <c r="E14" s="41" t="str">
        <f t="shared" ref="E14:E43" si="1">IF(A14="","",$B$7)</f>
        <v/>
      </c>
      <c r="F14" s="41" t="str">
        <f t="shared" ref="F14:F43" si="2">IF(A14="","",IF($B$8="Thu trước",$B$6*E14,C14*E14))</f>
        <v/>
      </c>
      <c r="G14" s="41" t="str">
        <f>IF(A14="","",SUMIFS(CHUYEN_THANG!$D$4:$D$403,CHUYEN_THANG!$A$4:$A$403,$B$4,CHUYEN_THANG!$B$4:$B$403,A14))</f>
        <v/>
      </c>
      <c r="H14" s="41" t="str">
        <f t="shared" ref="H14:H43" si="3">IF(A14="","",IF(O14&lt;&gt;"",MAX(0,O14),MAX(0,F14-G14+N14)))</f>
        <v/>
      </c>
      <c r="I14" s="11"/>
      <c r="J14" s="41" t="str">
        <f t="shared" ref="J14:J43" si="4">IF(A14="","",MAX(0,H14-I14))</f>
        <v/>
      </c>
      <c r="K14" s="41" t="str">
        <f t="shared" ref="K14:K43" si="5">IF(A14="","",IF($B$8="Thu trước",D14*E14,0))</f>
        <v/>
      </c>
      <c r="L14" s="48"/>
      <c r="M14" s="9"/>
      <c r="N14" s="49"/>
      <c r="O14" s="49"/>
    </row>
    <row r="15">
      <c r="A15" s="45" t="str">
        <f>IFERROR(LOP_10!$A$22,"")</f>
        <v/>
      </c>
      <c r="B15" s="45" t="str">
        <f>IFERROR(LOP_10!$B$22,"")</f>
        <v/>
      </c>
      <c r="C15" s="46" t="str">
        <f>IFERROR(LOP_10!$AH$22,"")</f>
        <v/>
      </c>
      <c r="D15" s="46" t="str">
        <f>IFERROR(LOP_10!$AI$22,"")</f>
        <v/>
      </c>
      <c r="E15" s="41" t="str">
        <f t="shared" si="1"/>
        <v/>
      </c>
      <c r="F15" s="41" t="str">
        <f t="shared" si="2"/>
        <v/>
      </c>
      <c r="G15" s="41" t="str">
        <f>IF(A15="","",SUMIFS(CHUYEN_THANG!$D$4:$D$403,CHUYEN_THANG!$A$4:$A$403,$B$4,CHUYEN_THANG!$B$4:$B$403,A15))</f>
        <v/>
      </c>
      <c r="H15" s="41" t="str">
        <f t="shared" si="3"/>
        <v/>
      </c>
      <c r="I15" s="11"/>
      <c r="J15" s="41" t="str">
        <f t="shared" si="4"/>
        <v/>
      </c>
      <c r="K15" s="41" t="str">
        <f t="shared" si="5"/>
        <v/>
      </c>
      <c r="L15" s="48"/>
      <c r="M15" s="9"/>
      <c r="N15" s="49"/>
      <c r="O15" s="49"/>
    </row>
    <row r="16">
      <c r="A16" s="45" t="str">
        <f>IFERROR(LOP_10!$A$23,"")</f>
        <v/>
      </c>
      <c r="B16" s="45" t="str">
        <f>IFERROR(LOP_10!$B$23,"")</f>
        <v/>
      </c>
      <c r="C16" s="46" t="str">
        <f>IFERROR(LOP_10!$AH$23,"")</f>
        <v/>
      </c>
      <c r="D16" s="46" t="str">
        <f>IFERROR(LOP_10!$AI$23,"")</f>
        <v/>
      </c>
      <c r="E16" s="41" t="str">
        <f t="shared" si="1"/>
        <v/>
      </c>
      <c r="F16" s="41" t="str">
        <f t="shared" si="2"/>
        <v/>
      </c>
      <c r="G16" s="41" t="str">
        <f>IF(A16="","",SUMIFS(CHUYEN_THANG!$D$4:$D$403,CHUYEN_THANG!$A$4:$A$403,$B$4,CHUYEN_THANG!$B$4:$B$403,A16))</f>
        <v/>
      </c>
      <c r="H16" s="41" t="str">
        <f t="shared" si="3"/>
        <v/>
      </c>
      <c r="I16" s="11"/>
      <c r="J16" s="41" t="str">
        <f t="shared" si="4"/>
        <v/>
      </c>
      <c r="K16" s="41" t="str">
        <f t="shared" si="5"/>
        <v/>
      </c>
      <c r="L16" s="48"/>
      <c r="M16" s="9"/>
      <c r="N16" s="49"/>
      <c r="O16" s="49"/>
    </row>
    <row r="17">
      <c r="A17" s="45" t="str">
        <f>IFERROR(LOP_10!$A$24,"")</f>
        <v/>
      </c>
      <c r="B17" s="45" t="str">
        <f>IFERROR(LOP_10!$B$24,"")</f>
        <v/>
      </c>
      <c r="C17" s="46" t="str">
        <f>IFERROR(LOP_10!$AH$24,"")</f>
        <v/>
      </c>
      <c r="D17" s="46" t="str">
        <f>IFERROR(LOP_10!$AI$24,"")</f>
        <v/>
      </c>
      <c r="E17" s="41" t="str">
        <f t="shared" si="1"/>
        <v/>
      </c>
      <c r="F17" s="41" t="str">
        <f t="shared" si="2"/>
        <v/>
      </c>
      <c r="G17" s="41" t="str">
        <f>IF(A17="","",SUMIFS(CHUYEN_THANG!$D$4:$D$403,CHUYEN_THANG!$A$4:$A$403,$B$4,CHUYEN_THANG!$B$4:$B$403,A17))</f>
        <v/>
      </c>
      <c r="H17" s="41" t="str">
        <f t="shared" si="3"/>
        <v/>
      </c>
      <c r="I17" s="11"/>
      <c r="J17" s="41" t="str">
        <f t="shared" si="4"/>
        <v/>
      </c>
      <c r="K17" s="41" t="str">
        <f t="shared" si="5"/>
        <v/>
      </c>
      <c r="L17" s="48"/>
      <c r="M17" s="9"/>
      <c r="N17" s="49"/>
      <c r="O17" s="49"/>
    </row>
    <row r="18">
      <c r="A18" s="45" t="str">
        <f>IFERROR(LOP_10!$A$25,"")</f>
        <v/>
      </c>
      <c r="B18" s="45" t="str">
        <f>IFERROR(LOP_10!$B$25,"")</f>
        <v/>
      </c>
      <c r="C18" s="46" t="str">
        <f>IFERROR(LOP_10!$AH$25,"")</f>
        <v/>
      </c>
      <c r="D18" s="46" t="str">
        <f>IFERROR(LOP_10!$AI$25,"")</f>
        <v/>
      </c>
      <c r="E18" s="41" t="str">
        <f t="shared" si="1"/>
        <v/>
      </c>
      <c r="F18" s="41" t="str">
        <f t="shared" si="2"/>
        <v/>
      </c>
      <c r="G18" s="41" t="str">
        <f>IF(A18="","",SUMIFS(CHUYEN_THANG!$D$4:$D$403,CHUYEN_THANG!$A$4:$A$403,$B$4,CHUYEN_THANG!$B$4:$B$403,A18))</f>
        <v/>
      </c>
      <c r="H18" s="41" t="str">
        <f t="shared" si="3"/>
        <v/>
      </c>
      <c r="I18" s="11"/>
      <c r="J18" s="41" t="str">
        <f t="shared" si="4"/>
        <v/>
      </c>
      <c r="K18" s="41" t="str">
        <f t="shared" si="5"/>
        <v/>
      </c>
      <c r="L18" s="48"/>
      <c r="M18" s="9"/>
      <c r="N18" s="49"/>
      <c r="O18" s="49"/>
    </row>
    <row r="19">
      <c r="A19" s="45" t="str">
        <f>IFERROR(LOP_10!$A$26,"")</f>
        <v/>
      </c>
      <c r="B19" s="45" t="str">
        <f>IFERROR(LOP_10!$B$26,"")</f>
        <v/>
      </c>
      <c r="C19" s="46" t="str">
        <f>IFERROR(LOP_10!$AH$26,"")</f>
        <v/>
      </c>
      <c r="D19" s="46" t="str">
        <f>IFERROR(LOP_10!$AI$26,"")</f>
        <v/>
      </c>
      <c r="E19" s="41" t="str">
        <f t="shared" si="1"/>
        <v/>
      </c>
      <c r="F19" s="41" t="str">
        <f t="shared" si="2"/>
        <v/>
      </c>
      <c r="G19" s="41" t="str">
        <f>IF(A19="","",SUMIFS(CHUYEN_THANG!$D$4:$D$403,CHUYEN_THANG!$A$4:$A$403,$B$4,CHUYEN_THANG!$B$4:$B$403,A19))</f>
        <v/>
      </c>
      <c r="H19" s="41" t="str">
        <f t="shared" si="3"/>
        <v/>
      </c>
      <c r="I19" s="11"/>
      <c r="J19" s="41" t="str">
        <f t="shared" si="4"/>
        <v/>
      </c>
      <c r="K19" s="41" t="str">
        <f t="shared" si="5"/>
        <v/>
      </c>
      <c r="L19" s="48"/>
      <c r="M19" s="9"/>
      <c r="N19" s="49"/>
      <c r="O19" s="49"/>
    </row>
    <row r="20">
      <c r="A20" s="45" t="str">
        <f>IFERROR(LOP_10!$A$27,"")</f>
        <v/>
      </c>
      <c r="B20" s="45" t="str">
        <f>IFERROR(LOP_10!$B$27,"")</f>
        <v/>
      </c>
      <c r="C20" s="46" t="str">
        <f>IFERROR(LOP_10!$AH$27,"")</f>
        <v/>
      </c>
      <c r="D20" s="46" t="str">
        <f>IFERROR(LOP_10!$AI$27,"")</f>
        <v/>
      </c>
      <c r="E20" s="41" t="str">
        <f t="shared" si="1"/>
        <v/>
      </c>
      <c r="F20" s="41" t="str">
        <f t="shared" si="2"/>
        <v/>
      </c>
      <c r="G20" s="41" t="str">
        <f>IF(A20="","",SUMIFS(CHUYEN_THANG!$D$4:$D$403,CHUYEN_THANG!$A$4:$A$403,$B$4,CHUYEN_THANG!$B$4:$B$403,A20))</f>
        <v/>
      </c>
      <c r="H20" s="41" t="str">
        <f t="shared" si="3"/>
        <v/>
      </c>
      <c r="I20" s="11"/>
      <c r="J20" s="41" t="str">
        <f t="shared" si="4"/>
        <v/>
      </c>
      <c r="K20" s="41" t="str">
        <f t="shared" si="5"/>
        <v/>
      </c>
      <c r="L20" s="48"/>
      <c r="M20" s="9"/>
      <c r="N20" s="49"/>
      <c r="O20" s="49"/>
    </row>
    <row r="21" ht="15.75" customHeight="1">
      <c r="A21" s="45" t="str">
        <f>IFERROR(LOP_10!$A$28,"")</f>
        <v/>
      </c>
      <c r="B21" s="45" t="str">
        <f>IFERROR(LOP_10!$B$28,"")</f>
        <v/>
      </c>
      <c r="C21" s="46" t="str">
        <f>IFERROR(LOP_10!$AH$28,"")</f>
        <v/>
      </c>
      <c r="D21" s="46" t="str">
        <f>IFERROR(LOP_10!$AI$28,"")</f>
        <v/>
      </c>
      <c r="E21" s="41" t="str">
        <f t="shared" si="1"/>
        <v/>
      </c>
      <c r="F21" s="41" t="str">
        <f t="shared" si="2"/>
        <v/>
      </c>
      <c r="G21" s="41" t="str">
        <f>IF(A21="","",SUMIFS(CHUYEN_THANG!$D$4:$D$403,CHUYEN_THANG!$A$4:$A$403,$B$4,CHUYEN_THANG!$B$4:$B$403,A21))</f>
        <v/>
      </c>
      <c r="H21" s="41" t="str">
        <f t="shared" si="3"/>
        <v/>
      </c>
      <c r="I21" s="11"/>
      <c r="J21" s="41" t="str">
        <f t="shared" si="4"/>
        <v/>
      </c>
      <c r="K21" s="41" t="str">
        <f t="shared" si="5"/>
        <v/>
      </c>
      <c r="L21" s="48"/>
      <c r="M21" s="9"/>
      <c r="N21" s="49"/>
      <c r="O21" s="49"/>
    </row>
    <row r="22" ht="15.75" customHeight="1">
      <c r="A22" s="45" t="str">
        <f>IFERROR(LOP_10!$A$29,"")</f>
        <v/>
      </c>
      <c r="B22" s="45" t="str">
        <f>IFERROR(LOP_10!$B$29,"")</f>
        <v/>
      </c>
      <c r="C22" s="46" t="str">
        <f>IFERROR(LOP_10!$AH$29,"")</f>
        <v/>
      </c>
      <c r="D22" s="46" t="str">
        <f>IFERROR(LOP_10!$AI$29,"")</f>
        <v/>
      </c>
      <c r="E22" s="41" t="str">
        <f t="shared" si="1"/>
        <v/>
      </c>
      <c r="F22" s="41" t="str">
        <f t="shared" si="2"/>
        <v/>
      </c>
      <c r="G22" s="41" t="str">
        <f>IF(A22="","",SUMIFS(CHUYEN_THANG!$D$4:$D$403,CHUYEN_THANG!$A$4:$A$403,$B$4,CHUYEN_THANG!$B$4:$B$403,A22))</f>
        <v/>
      </c>
      <c r="H22" s="41" t="str">
        <f t="shared" si="3"/>
        <v/>
      </c>
      <c r="I22" s="11"/>
      <c r="J22" s="41" t="str">
        <f t="shared" si="4"/>
        <v/>
      </c>
      <c r="K22" s="41" t="str">
        <f t="shared" si="5"/>
        <v/>
      </c>
      <c r="L22" s="48"/>
      <c r="M22" s="9"/>
      <c r="N22" s="49"/>
      <c r="O22" s="49"/>
    </row>
    <row r="23" ht="15.75" customHeight="1">
      <c r="A23" s="45" t="str">
        <f>IFERROR(LOP_10!$A$30,"")</f>
        <v/>
      </c>
      <c r="B23" s="45" t="str">
        <f>IFERROR(LOP_10!$B$30,"")</f>
        <v/>
      </c>
      <c r="C23" s="46" t="str">
        <f>IFERROR(LOP_10!$AH$30,"")</f>
        <v/>
      </c>
      <c r="D23" s="46" t="str">
        <f>IFERROR(LOP_10!$AI$30,"")</f>
        <v/>
      </c>
      <c r="E23" s="41" t="str">
        <f t="shared" si="1"/>
        <v/>
      </c>
      <c r="F23" s="41" t="str">
        <f t="shared" si="2"/>
        <v/>
      </c>
      <c r="G23" s="41" t="str">
        <f>IF(A23="","",SUMIFS(CHUYEN_THANG!$D$4:$D$403,CHUYEN_THANG!$A$4:$A$403,$B$4,CHUYEN_THANG!$B$4:$B$403,A23))</f>
        <v/>
      </c>
      <c r="H23" s="41" t="str">
        <f t="shared" si="3"/>
        <v/>
      </c>
      <c r="I23" s="11"/>
      <c r="J23" s="41" t="str">
        <f t="shared" si="4"/>
        <v/>
      </c>
      <c r="K23" s="41" t="str">
        <f t="shared" si="5"/>
        <v/>
      </c>
      <c r="L23" s="48"/>
      <c r="M23" s="9"/>
      <c r="N23" s="49"/>
      <c r="O23" s="49"/>
    </row>
    <row r="24" ht="15.75" customHeight="1">
      <c r="A24" s="45" t="str">
        <f>IFERROR(LOP_10!$A$31,"")</f>
        <v/>
      </c>
      <c r="B24" s="45" t="str">
        <f>IFERROR(LOP_10!$B$31,"")</f>
        <v/>
      </c>
      <c r="C24" s="46" t="str">
        <f>IFERROR(LOP_10!$AH$31,"")</f>
        <v/>
      </c>
      <c r="D24" s="46" t="str">
        <f>IFERROR(LOP_10!$AI$31,"")</f>
        <v/>
      </c>
      <c r="E24" s="41" t="str">
        <f t="shared" si="1"/>
        <v/>
      </c>
      <c r="F24" s="41" t="str">
        <f t="shared" si="2"/>
        <v/>
      </c>
      <c r="G24" s="41" t="str">
        <f>IF(A24="","",SUMIFS(CHUYEN_THANG!$D$4:$D$403,CHUYEN_THANG!$A$4:$A$403,$B$4,CHUYEN_THANG!$B$4:$B$403,A24))</f>
        <v/>
      </c>
      <c r="H24" s="41" t="str">
        <f t="shared" si="3"/>
        <v/>
      </c>
      <c r="I24" s="11"/>
      <c r="J24" s="41" t="str">
        <f t="shared" si="4"/>
        <v/>
      </c>
      <c r="K24" s="41" t="str">
        <f t="shared" si="5"/>
        <v/>
      </c>
      <c r="L24" s="48"/>
      <c r="M24" s="9"/>
      <c r="N24" s="49"/>
      <c r="O24" s="49"/>
    </row>
    <row r="25" ht="15.75" customHeight="1">
      <c r="A25" s="45" t="str">
        <f>IFERROR(LOP_10!$A$32,"")</f>
        <v/>
      </c>
      <c r="B25" s="45" t="str">
        <f>IFERROR(LOP_10!$B$32,"")</f>
        <v/>
      </c>
      <c r="C25" s="46" t="str">
        <f>IFERROR(LOP_10!$AH$32,"")</f>
        <v/>
      </c>
      <c r="D25" s="46" t="str">
        <f>IFERROR(LOP_10!$AI$32,"")</f>
        <v/>
      </c>
      <c r="E25" s="41" t="str">
        <f t="shared" si="1"/>
        <v/>
      </c>
      <c r="F25" s="41" t="str">
        <f t="shared" si="2"/>
        <v/>
      </c>
      <c r="G25" s="41" t="str">
        <f>IF(A25="","",SUMIFS(CHUYEN_THANG!$D$4:$D$403,CHUYEN_THANG!$A$4:$A$403,$B$4,CHUYEN_THANG!$B$4:$B$403,A25))</f>
        <v/>
      </c>
      <c r="H25" s="41" t="str">
        <f t="shared" si="3"/>
        <v/>
      </c>
      <c r="I25" s="11"/>
      <c r="J25" s="41" t="str">
        <f t="shared" si="4"/>
        <v/>
      </c>
      <c r="K25" s="41" t="str">
        <f t="shared" si="5"/>
        <v/>
      </c>
      <c r="L25" s="48"/>
      <c r="M25" s="9"/>
      <c r="N25" s="49"/>
      <c r="O25" s="49"/>
    </row>
    <row r="26" ht="15.75" customHeight="1">
      <c r="A26" s="45" t="str">
        <f>IFERROR(LOP_10!$A$33,"")</f>
        <v/>
      </c>
      <c r="B26" s="45" t="str">
        <f>IFERROR(LOP_10!$B$33,"")</f>
        <v/>
      </c>
      <c r="C26" s="46" t="str">
        <f>IFERROR(LOP_10!$AH$33,"")</f>
        <v/>
      </c>
      <c r="D26" s="46" t="str">
        <f>IFERROR(LOP_10!$AI$33,"")</f>
        <v/>
      </c>
      <c r="E26" s="41" t="str">
        <f t="shared" si="1"/>
        <v/>
      </c>
      <c r="F26" s="41" t="str">
        <f t="shared" si="2"/>
        <v/>
      </c>
      <c r="G26" s="41" t="str">
        <f>IF(A26="","",SUMIFS(CHUYEN_THANG!$D$4:$D$403,CHUYEN_THANG!$A$4:$A$403,$B$4,CHUYEN_THANG!$B$4:$B$403,A26))</f>
        <v/>
      </c>
      <c r="H26" s="41" t="str">
        <f t="shared" si="3"/>
        <v/>
      </c>
      <c r="I26" s="11"/>
      <c r="J26" s="41" t="str">
        <f t="shared" si="4"/>
        <v/>
      </c>
      <c r="K26" s="41" t="str">
        <f t="shared" si="5"/>
        <v/>
      </c>
      <c r="L26" s="48"/>
      <c r="M26" s="9"/>
      <c r="N26" s="49"/>
      <c r="O26" s="49"/>
    </row>
    <row r="27" ht="15.75" customHeight="1">
      <c r="A27" s="45" t="str">
        <f>IFERROR(LOP_10!$A$34,"")</f>
        <v/>
      </c>
      <c r="B27" s="45" t="str">
        <f>IFERROR(LOP_10!$B$34,"")</f>
        <v/>
      </c>
      <c r="C27" s="46" t="str">
        <f>IFERROR(LOP_10!$AH$34,"")</f>
        <v/>
      </c>
      <c r="D27" s="46" t="str">
        <f>IFERROR(LOP_10!$AI$34,"")</f>
        <v/>
      </c>
      <c r="E27" s="41" t="str">
        <f t="shared" si="1"/>
        <v/>
      </c>
      <c r="F27" s="41" t="str">
        <f t="shared" si="2"/>
        <v/>
      </c>
      <c r="G27" s="41" t="str">
        <f>IF(A27="","",SUMIFS(CHUYEN_THANG!$D$4:$D$403,CHUYEN_THANG!$A$4:$A$403,$B$4,CHUYEN_THANG!$B$4:$B$403,A27))</f>
        <v/>
      </c>
      <c r="H27" s="41" t="str">
        <f t="shared" si="3"/>
        <v/>
      </c>
      <c r="I27" s="11"/>
      <c r="J27" s="41" t="str">
        <f t="shared" si="4"/>
        <v/>
      </c>
      <c r="K27" s="41" t="str">
        <f t="shared" si="5"/>
        <v/>
      </c>
      <c r="L27" s="48"/>
      <c r="M27" s="9"/>
      <c r="N27" s="49"/>
      <c r="O27" s="49"/>
    </row>
    <row r="28" ht="15.75" customHeight="1">
      <c r="A28" s="45" t="str">
        <f>IFERROR(LOP_10!$A$35,"")</f>
        <v/>
      </c>
      <c r="B28" s="45" t="str">
        <f>IFERROR(LOP_10!$B$35,"")</f>
        <v/>
      </c>
      <c r="C28" s="46" t="str">
        <f>IFERROR(LOP_10!$AH$35,"")</f>
        <v/>
      </c>
      <c r="D28" s="46" t="str">
        <f>IFERROR(LOP_10!$AI$35,"")</f>
        <v/>
      </c>
      <c r="E28" s="41" t="str">
        <f t="shared" si="1"/>
        <v/>
      </c>
      <c r="F28" s="41" t="str">
        <f t="shared" si="2"/>
        <v/>
      </c>
      <c r="G28" s="41" t="str">
        <f>IF(A28="","",SUMIFS(CHUYEN_THANG!$D$4:$D$403,CHUYEN_THANG!$A$4:$A$403,$B$4,CHUYEN_THANG!$B$4:$B$403,A28))</f>
        <v/>
      </c>
      <c r="H28" s="41" t="str">
        <f t="shared" si="3"/>
        <v/>
      </c>
      <c r="I28" s="11"/>
      <c r="J28" s="41" t="str">
        <f t="shared" si="4"/>
        <v/>
      </c>
      <c r="K28" s="41" t="str">
        <f t="shared" si="5"/>
        <v/>
      </c>
      <c r="L28" s="48"/>
      <c r="M28" s="9"/>
      <c r="N28" s="49"/>
      <c r="O28" s="49"/>
    </row>
    <row r="29" ht="15.75" customHeight="1">
      <c r="A29" s="45" t="str">
        <f>IFERROR(LOP_10!$A$36,"")</f>
        <v/>
      </c>
      <c r="B29" s="45" t="str">
        <f>IFERROR(LOP_10!$B$36,"")</f>
        <v/>
      </c>
      <c r="C29" s="46" t="str">
        <f>IFERROR(LOP_10!$AH$36,"")</f>
        <v/>
      </c>
      <c r="D29" s="46" t="str">
        <f>IFERROR(LOP_10!$AI$36,"")</f>
        <v/>
      </c>
      <c r="E29" s="41" t="str">
        <f t="shared" si="1"/>
        <v/>
      </c>
      <c r="F29" s="41" t="str">
        <f t="shared" si="2"/>
        <v/>
      </c>
      <c r="G29" s="41" t="str">
        <f>IF(A29="","",SUMIFS(CHUYEN_THANG!$D$4:$D$403,CHUYEN_THANG!$A$4:$A$403,$B$4,CHUYEN_THANG!$B$4:$B$403,A29))</f>
        <v/>
      </c>
      <c r="H29" s="41" t="str">
        <f t="shared" si="3"/>
        <v/>
      </c>
      <c r="I29" s="11"/>
      <c r="J29" s="41" t="str">
        <f t="shared" si="4"/>
        <v/>
      </c>
      <c r="K29" s="41" t="str">
        <f t="shared" si="5"/>
        <v/>
      </c>
      <c r="L29" s="48"/>
      <c r="M29" s="9"/>
      <c r="N29" s="49"/>
      <c r="O29" s="49"/>
    </row>
    <row r="30" ht="15.75" customHeight="1">
      <c r="A30" s="45" t="str">
        <f>IFERROR(LOP_10!$A$37,"")</f>
        <v/>
      </c>
      <c r="B30" s="45" t="str">
        <f>IFERROR(LOP_10!$B$37,"")</f>
        <v/>
      </c>
      <c r="C30" s="46" t="str">
        <f>IFERROR(LOP_10!$AH$37,"")</f>
        <v/>
      </c>
      <c r="D30" s="46" t="str">
        <f>IFERROR(LOP_10!$AI$37,"")</f>
        <v/>
      </c>
      <c r="E30" s="41" t="str">
        <f t="shared" si="1"/>
        <v/>
      </c>
      <c r="F30" s="41" t="str">
        <f t="shared" si="2"/>
        <v/>
      </c>
      <c r="G30" s="41" t="str">
        <f>IF(A30="","",SUMIFS(CHUYEN_THANG!$D$4:$D$403,CHUYEN_THANG!$A$4:$A$403,$B$4,CHUYEN_THANG!$B$4:$B$403,A30))</f>
        <v/>
      </c>
      <c r="H30" s="41" t="str">
        <f t="shared" si="3"/>
        <v/>
      </c>
      <c r="I30" s="11"/>
      <c r="J30" s="41" t="str">
        <f t="shared" si="4"/>
        <v/>
      </c>
      <c r="K30" s="41" t="str">
        <f t="shared" si="5"/>
        <v/>
      </c>
      <c r="L30" s="48"/>
      <c r="M30" s="9"/>
      <c r="N30" s="49"/>
      <c r="O30" s="49"/>
    </row>
    <row r="31" ht="15.75" customHeight="1">
      <c r="A31" s="45" t="str">
        <f>IFERROR(LOP_10!$A$38,"")</f>
        <v/>
      </c>
      <c r="B31" s="45" t="str">
        <f>IFERROR(LOP_10!$B$38,"")</f>
        <v/>
      </c>
      <c r="C31" s="46" t="str">
        <f>IFERROR(LOP_10!$AH$38,"")</f>
        <v/>
      </c>
      <c r="D31" s="46" t="str">
        <f>IFERROR(LOP_10!$AI$38,"")</f>
        <v/>
      </c>
      <c r="E31" s="41" t="str">
        <f t="shared" si="1"/>
        <v/>
      </c>
      <c r="F31" s="41" t="str">
        <f t="shared" si="2"/>
        <v/>
      </c>
      <c r="G31" s="41" t="str">
        <f>IF(A31="","",SUMIFS(CHUYEN_THANG!$D$4:$D$403,CHUYEN_THANG!$A$4:$A$403,$B$4,CHUYEN_THANG!$B$4:$B$403,A31))</f>
        <v/>
      </c>
      <c r="H31" s="41" t="str">
        <f t="shared" si="3"/>
        <v/>
      </c>
      <c r="I31" s="11"/>
      <c r="J31" s="41" t="str">
        <f t="shared" si="4"/>
        <v/>
      </c>
      <c r="K31" s="41" t="str">
        <f t="shared" si="5"/>
        <v/>
      </c>
      <c r="L31" s="48"/>
      <c r="M31" s="9"/>
      <c r="N31" s="49"/>
      <c r="O31" s="49"/>
    </row>
    <row r="32" ht="15.75" customHeight="1">
      <c r="A32" s="45" t="str">
        <f>IFERROR(LOP_10!$A$39,"")</f>
        <v/>
      </c>
      <c r="B32" s="45" t="str">
        <f>IFERROR(LOP_10!$B$39,"")</f>
        <v/>
      </c>
      <c r="C32" s="46" t="str">
        <f>IFERROR(LOP_10!$AH$39,"")</f>
        <v/>
      </c>
      <c r="D32" s="46" t="str">
        <f>IFERROR(LOP_10!$AI$39,"")</f>
        <v/>
      </c>
      <c r="E32" s="41" t="str">
        <f t="shared" si="1"/>
        <v/>
      </c>
      <c r="F32" s="41" t="str">
        <f t="shared" si="2"/>
        <v/>
      </c>
      <c r="G32" s="41" t="str">
        <f>IF(A32="","",SUMIFS(CHUYEN_THANG!$D$4:$D$403,CHUYEN_THANG!$A$4:$A$403,$B$4,CHUYEN_THANG!$B$4:$B$403,A32))</f>
        <v/>
      </c>
      <c r="H32" s="41" t="str">
        <f t="shared" si="3"/>
        <v/>
      </c>
      <c r="I32" s="11"/>
      <c r="J32" s="41" t="str">
        <f t="shared" si="4"/>
        <v/>
      </c>
      <c r="K32" s="41" t="str">
        <f t="shared" si="5"/>
        <v/>
      </c>
      <c r="L32" s="48"/>
      <c r="M32" s="9"/>
      <c r="N32" s="49"/>
      <c r="O32" s="49"/>
    </row>
    <row r="33" ht="15.75" customHeight="1">
      <c r="A33" s="45" t="str">
        <f>IFERROR(LOP_10!$A$40,"")</f>
        <v/>
      </c>
      <c r="B33" s="45" t="str">
        <f>IFERROR(LOP_10!$B$40,"")</f>
        <v/>
      </c>
      <c r="C33" s="46" t="str">
        <f>IFERROR(LOP_10!$AH$40,"")</f>
        <v/>
      </c>
      <c r="D33" s="46" t="str">
        <f>IFERROR(LOP_10!$AI$40,"")</f>
        <v/>
      </c>
      <c r="E33" s="41" t="str">
        <f t="shared" si="1"/>
        <v/>
      </c>
      <c r="F33" s="41" t="str">
        <f t="shared" si="2"/>
        <v/>
      </c>
      <c r="G33" s="41" t="str">
        <f>IF(A33="","",SUMIFS(CHUYEN_THANG!$D$4:$D$403,CHUYEN_THANG!$A$4:$A$403,$B$4,CHUYEN_THANG!$B$4:$B$403,A33))</f>
        <v/>
      </c>
      <c r="H33" s="41" t="str">
        <f t="shared" si="3"/>
        <v/>
      </c>
      <c r="I33" s="11"/>
      <c r="J33" s="41" t="str">
        <f t="shared" si="4"/>
        <v/>
      </c>
      <c r="K33" s="41" t="str">
        <f t="shared" si="5"/>
        <v/>
      </c>
      <c r="L33" s="48"/>
      <c r="M33" s="9"/>
      <c r="N33" s="49"/>
      <c r="O33" s="49"/>
    </row>
    <row r="34" ht="15.75" customHeight="1">
      <c r="A34" s="45" t="str">
        <f>IFERROR(LOP_10!$A$41,"")</f>
        <v/>
      </c>
      <c r="B34" s="45" t="str">
        <f>IFERROR(LOP_10!$B$41,"")</f>
        <v/>
      </c>
      <c r="C34" s="46" t="str">
        <f>IFERROR(LOP_10!$AH$41,"")</f>
        <v/>
      </c>
      <c r="D34" s="46" t="str">
        <f>IFERROR(LOP_10!$AI$41,"")</f>
        <v/>
      </c>
      <c r="E34" s="41" t="str">
        <f t="shared" si="1"/>
        <v/>
      </c>
      <c r="F34" s="41" t="str">
        <f t="shared" si="2"/>
        <v/>
      </c>
      <c r="G34" s="41" t="str">
        <f>IF(A34="","",SUMIFS(CHUYEN_THANG!$D$4:$D$403,CHUYEN_THANG!$A$4:$A$403,$B$4,CHUYEN_THANG!$B$4:$B$403,A34))</f>
        <v/>
      </c>
      <c r="H34" s="41" t="str">
        <f t="shared" si="3"/>
        <v/>
      </c>
      <c r="I34" s="11"/>
      <c r="J34" s="41" t="str">
        <f t="shared" si="4"/>
        <v/>
      </c>
      <c r="K34" s="41" t="str">
        <f t="shared" si="5"/>
        <v/>
      </c>
      <c r="L34" s="48"/>
      <c r="M34" s="9"/>
      <c r="N34" s="49"/>
      <c r="O34" s="49"/>
    </row>
    <row r="35" ht="15.75" customHeight="1">
      <c r="A35" s="45" t="str">
        <f>IFERROR(LOP_10!$A$42,"")</f>
        <v/>
      </c>
      <c r="B35" s="45" t="str">
        <f>IFERROR(LOP_10!$B$42,"")</f>
        <v/>
      </c>
      <c r="C35" s="46" t="str">
        <f>IFERROR(LOP_10!$AH$42,"")</f>
        <v/>
      </c>
      <c r="D35" s="46" t="str">
        <f>IFERROR(LOP_10!$AI$42,"")</f>
        <v/>
      </c>
      <c r="E35" s="41" t="str">
        <f t="shared" si="1"/>
        <v/>
      </c>
      <c r="F35" s="41" t="str">
        <f t="shared" si="2"/>
        <v/>
      </c>
      <c r="G35" s="41" t="str">
        <f>IF(A35="","",SUMIFS(CHUYEN_THANG!$D$4:$D$403,CHUYEN_THANG!$A$4:$A$403,$B$4,CHUYEN_THANG!$B$4:$B$403,A35))</f>
        <v/>
      </c>
      <c r="H35" s="41" t="str">
        <f t="shared" si="3"/>
        <v/>
      </c>
      <c r="I35" s="11"/>
      <c r="J35" s="41" t="str">
        <f t="shared" si="4"/>
        <v/>
      </c>
      <c r="K35" s="41" t="str">
        <f t="shared" si="5"/>
        <v/>
      </c>
      <c r="L35" s="48"/>
      <c r="M35" s="9"/>
      <c r="N35" s="49"/>
      <c r="O35" s="49"/>
    </row>
    <row r="36" ht="15.75" customHeight="1">
      <c r="A36" s="45" t="str">
        <f>IFERROR(LOP_10!$A$43,"")</f>
        <v/>
      </c>
      <c r="B36" s="45" t="str">
        <f>IFERROR(LOP_10!$B$43,"")</f>
        <v/>
      </c>
      <c r="C36" s="46" t="str">
        <f>IFERROR(LOP_10!$AH$43,"")</f>
        <v/>
      </c>
      <c r="D36" s="46" t="str">
        <f>IFERROR(LOP_10!$AI$43,"")</f>
        <v/>
      </c>
      <c r="E36" s="41" t="str">
        <f t="shared" si="1"/>
        <v/>
      </c>
      <c r="F36" s="41" t="str">
        <f t="shared" si="2"/>
        <v/>
      </c>
      <c r="G36" s="41" t="str">
        <f>IF(A36="","",SUMIFS(CHUYEN_THANG!$D$4:$D$403,CHUYEN_THANG!$A$4:$A$403,$B$4,CHUYEN_THANG!$B$4:$B$403,A36))</f>
        <v/>
      </c>
      <c r="H36" s="41" t="str">
        <f t="shared" si="3"/>
        <v/>
      </c>
      <c r="I36" s="11"/>
      <c r="J36" s="41" t="str">
        <f t="shared" si="4"/>
        <v/>
      </c>
      <c r="K36" s="41" t="str">
        <f t="shared" si="5"/>
        <v/>
      </c>
      <c r="L36" s="48"/>
      <c r="M36" s="9"/>
      <c r="N36" s="49"/>
      <c r="O36" s="49"/>
    </row>
    <row r="37" ht="15.75" customHeight="1">
      <c r="A37" s="45" t="str">
        <f>IFERROR(LOP_10!$A$44,"")</f>
        <v/>
      </c>
      <c r="B37" s="45" t="str">
        <f>IFERROR(LOP_10!$B$44,"")</f>
        <v/>
      </c>
      <c r="C37" s="46" t="str">
        <f>IFERROR(LOP_10!$AH$44,"")</f>
        <v/>
      </c>
      <c r="D37" s="46" t="str">
        <f>IFERROR(LOP_10!$AI$44,"")</f>
        <v/>
      </c>
      <c r="E37" s="41" t="str">
        <f t="shared" si="1"/>
        <v/>
      </c>
      <c r="F37" s="41" t="str">
        <f t="shared" si="2"/>
        <v/>
      </c>
      <c r="G37" s="41" t="str">
        <f>IF(A37="","",SUMIFS(CHUYEN_THANG!$D$4:$D$403,CHUYEN_THANG!$A$4:$A$403,$B$4,CHUYEN_THANG!$B$4:$B$403,A37))</f>
        <v/>
      </c>
      <c r="H37" s="41" t="str">
        <f t="shared" si="3"/>
        <v/>
      </c>
      <c r="I37" s="11"/>
      <c r="J37" s="41" t="str">
        <f t="shared" si="4"/>
        <v/>
      </c>
      <c r="K37" s="41" t="str">
        <f t="shared" si="5"/>
        <v/>
      </c>
      <c r="L37" s="48"/>
      <c r="M37" s="9"/>
      <c r="N37" s="49"/>
      <c r="O37" s="49"/>
    </row>
    <row r="38" ht="15.75" customHeight="1">
      <c r="A38" s="45" t="str">
        <f>IFERROR(LOP_10!$A$45,"")</f>
        <v/>
      </c>
      <c r="B38" s="45" t="str">
        <f>IFERROR(LOP_10!$B$45,"")</f>
        <v/>
      </c>
      <c r="C38" s="46" t="str">
        <f>IFERROR(LOP_10!$AH$45,"")</f>
        <v/>
      </c>
      <c r="D38" s="46" t="str">
        <f>IFERROR(LOP_10!$AI$45,"")</f>
        <v/>
      </c>
      <c r="E38" s="41" t="str">
        <f t="shared" si="1"/>
        <v/>
      </c>
      <c r="F38" s="41" t="str">
        <f t="shared" si="2"/>
        <v/>
      </c>
      <c r="G38" s="41" t="str">
        <f>IF(A38="","",SUMIFS(CHUYEN_THANG!$D$4:$D$403,CHUYEN_THANG!$A$4:$A$403,$B$4,CHUYEN_THANG!$B$4:$B$403,A38))</f>
        <v/>
      </c>
      <c r="H38" s="41" t="str">
        <f t="shared" si="3"/>
        <v/>
      </c>
      <c r="I38" s="11"/>
      <c r="J38" s="41" t="str">
        <f t="shared" si="4"/>
        <v/>
      </c>
      <c r="K38" s="41" t="str">
        <f t="shared" si="5"/>
        <v/>
      </c>
      <c r="L38" s="48"/>
      <c r="M38" s="9"/>
      <c r="N38" s="49"/>
      <c r="O38" s="49"/>
    </row>
    <row r="39" ht="15.75" customHeight="1">
      <c r="A39" s="45" t="str">
        <f>IFERROR(LOP_10!$A$46,"")</f>
        <v/>
      </c>
      <c r="B39" s="45" t="str">
        <f>IFERROR(LOP_10!$B$46,"")</f>
        <v/>
      </c>
      <c r="C39" s="46" t="str">
        <f>IFERROR(LOP_10!$AH$46,"")</f>
        <v/>
      </c>
      <c r="D39" s="46" t="str">
        <f>IFERROR(LOP_10!$AI$46,"")</f>
        <v/>
      </c>
      <c r="E39" s="41" t="str">
        <f t="shared" si="1"/>
        <v/>
      </c>
      <c r="F39" s="41" t="str">
        <f t="shared" si="2"/>
        <v/>
      </c>
      <c r="G39" s="41" t="str">
        <f>IF(A39="","",SUMIFS(CHUYEN_THANG!$D$4:$D$403,CHUYEN_THANG!$A$4:$A$403,$B$4,CHUYEN_THANG!$B$4:$B$403,A39))</f>
        <v/>
      </c>
      <c r="H39" s="41" t="str">
        <f t="shared" si="3"/>
        <v/>
      </c>
      <c r="I39" s="11"/>
      <c r="J39" s="41" t="str">
        <f t="shared" si="4"/>
        <v/>
      </c>
      <c r="K39" s="41" t="str">
        <f t="shared" si="5"/>
        <v/>
      </c>
      <c r="L39" s="48"/>
      <c r="M39" s="9"/>
      <c r="N39" s="49"/>
      <c r="O39" s="49"/>
    </row>
    <row r="40" ht="15.75" customHeight="1">
      <c r="A40" s="45" t="str">
        <f>IFERROR(LOP_10!$A$47,"")</f>
        <v/>
      </c>
      <c r="B40" s="45" t="str">
        <f>IFERROR(LOP_10!$B$47,"")</f>
        <v/>
      </c>
      <c r="C40" s="46" t="str">
        <f>IFERROR(LOP_10!$AH$47,"")</f>
        <v/>
      </c>
      <c r="D40" s="46" t="str">
        <f>IFERROR(LOP_10!$AI$47,"")</f>
        <v/>
      </c>
      <c r="E40" s="41" t="str">
        <f t="shared" si="1"/>
        <v/>
      </c>
      <c r="F40" s="41" t="str">
        <f t="shared" si="2"/>
        <v/>
      </c>
      <c r="G40" s="41" t="str">
        <f>IF(A40="","",SUMIFS(CHUYEN_THANG!$D$4:$D$403,CHUYEN_THANG!$A$4:$A$403,$B$4,CHUYEN_THANG!$B$4:$B$403,A40))</f>
        <v/>
      </c>
      <c r="H40" s="41" t="str">
        <f t="shared" si="3"/>
        <v/>
      </c>
      <c r="I40" s="11"/>
      <c r="J40" s="41" t="str">
        <f t="shared" si="4"/>
        <v/>
      </c>
      <c r="K40" s="41" t="str">
        <f t="shared" si="5"/>
        <v/>
      </c>
      <c r="L40" s="48"/>
      <c r="M40" s="9"/>
      <c r="N40" s="49"/>
      <c r="O40" s="49"/>
    </row>
    <row r="41" ht="15.75" customHeight="1">
      <c r="A41" s="45" t="str">
        <f>IFERROR(LOP_10!$A$48,"")</f>
        <v/>
      </c>
      <c r="B41" s="45" t="str">
        <f>IFERROR(LOP_10!$B$48,"")</f>
        <v/>
      </c>
      <c r="C41" s="46" t="str">
        <f>IFERROR(LOP_10!$AH$48,"")</f>
        <v/>
      </c>
      <c r="D41" s="46" t="str">
        <f>IFERROR(LOP_10!$AI$48,"")</f>
        <v/>
      </c>
      <c r="E41" s="41" t="str">
        <f t="shared" si="1"/>
        <v/>
      </c>
      <c r="F41" s="41" t="str">
        <f t="shared" si="2"/>
        <v/>
      </c>
      <c r="G41" s="41" t="str">
        <f>IF(A41="","",SUMIFS(CHUYEN_THANG!$D$4:$D$403,CHUYEN_THANG!$A$4:$A$403,$B$4,CHUYEN_THANG!$B$4:$B$403,A41))</f>
        <v/>
      </c>
      <c r="H41" s="41" t="str">
        <f t="shared" si="3"/>
        <v/>
      </c>
      <c r="I41" s="11"/>
      <c r="J41" s="41" t="str">
        <f t="shared" si="4"/>
        <v/>
      </c>
      <c r="K41" s="41" t="str">
        <f t="shared" si="5"/>
        <v/>
      </c>
      <c r="L41" s="48"/>
      <c r="M41" s="9"/>
      <c r="N41" s="49"/>
      <c r="O41" s="49"/>
    </row>
    <row r="42" ht="15.75" customHeight="1">
      <c r="A42" s="45" t="str">
        <f>IFERROR(LOP_10!$A$49,"")</f>
        <v/>
      </c>
      <c r="B42" s="45" t="str">
        <f>IFERROR(LOP_10!$B$49,"")</f>
        <v/>
      </c>
      <c r="C42" s="46" t="str">
        <f>IFERROR(LOP_10!$AH$49,"")</f>
        <v/>
      </c>
      <c r="D42" s="46" t="str">
        <f>IFERROR(LOP_10!$AI$49,"")</f>
        <v/>
      </c>
      <c r="E42" s="41" t="str">
        <f t="shared" si="1"/>
        <v/>
      </c>
      <c r="F42" s="41" t="str">
        <f t="shared" si="2"/>
        <v/>
      </c>
      <c r="G42" s="41" t="str">
        <f>IF(A42="","",SUMIFS(CHUYEN_THANG!$D$4:$D$403,CHUYEN_THANG!$A$4:$A$403,$B$4,CHUYEN_THANG!$B$4:$B$403,A42))</f>
        <v/>
      </c>
      <c r="H42" s="41" t="str">
        <f t="shared" si="3"/>
        <v/>
      </c>
      <c r="I42" s="11"/>
      <c r="J42" s="41" t="str">
        <f t="shared" si="4"/>
        <v/>
      </c>
      <c r="K42" s="41" t="str">
        <f t="shared" si="5"/>
        <v/>
      </c>
      <c r="L42" s="48"/>
      <c r="M42" s="9"/>
      <c r="N42" s="49"/>
      <c r="O42" s="49"/>
    </row>
    <row r="43" ht="15.75" customHeight="1">
      <c r="A43" s="45" t="str">
        <f>IFERROR(LOP_10!$A$50,"")</f>
        <v/>
      </c>
      <c r="B43" s="45" t="str">
        <f>IFERROR(LOP_10!$B$50,"")</f>
        <v/>
      </c>
      <c r="C43" s="46" t="str">
        <f>IFERROR(LOP_10!$AH$50,"")</f>
        <v/>
      </c>
      <c r="D43" s="46" t="str">
        <f>IFERROR(LOP_10!$AI$50,"")</f>
        <v/>
      </c>
      <c r="E43" s="41" t="str">
        <f t="shared" si="1"/>
        <v/>
      </c>
      <c r="F43" s="41" t="str">
        <f t="shared" si="2"/>
        <v/>
      </c>
      <c r="G43" s="41" t="str">
        <f>IF(A43="","",SUMIFS(CHUYEN_THANG!$D$4:$D$403,CHUYEN_THANG!$A$4:$A$403,$B$4,CHUYEN_THANG!$B$4:$B$403,A43))</f>
        <v/>
      </c>
      <c r="H43" s="41" t="str">
        <f t="shared" si="3"/>
        <v/>
      </c>
      <c r="I43" s="11"/>
      <c r="J43" s="41" t="str">
        <f t="shared" si="4"/>
        <v/>
      </c>
      <c r="K43" s="41" t="str">
        <f t="shared" si="5"/>
        <v/>
      </c>
      <c r="L43" s="48"/>
      <c r="M43" s="9"/>
      <c r="N43" s="49"/>
      <c r="O43" s="49"/>
    </row>
    <row r="44" ht="15.75" customHeight="1">
      <c r="A44" s="50"/>
      <c r="B44" s="50"/>
      <c r="C44" s="51"/>
      <c r="D44" s="51"/>
      <c r="E44" s="43"/>
      <c r="F44" s="43"/>
      <c r="G44" s="43"/>
      <c r="H44" s="43"/>
      <c r="I44" s="49"/>
      <c r="J44" s="43"/>
      <c r="K44" s="43"/>
      <c r="L44" s="52"/>
      <c r="M44" s="53"/>
      <c r="N44" s="49"/>
      <c r="O44" s="49"/>
    </row>
    <row r="45" ht="15.75" customHeight="1">
      <c r="A45" s="50"/>
      <c r="B45" s="50"/>
      <c r="C45" s="51"/>
      <c r="D45" s="51"/>
      <c r="E45" s="43"/>
      <c r="F45" s="43"/>
      <c r="G45" s="43"/>
      <c r="H45" s="43"/>
      <c r="I45" s="49"/>
      <c r="J45" s="43"/>
      <c r="K45" s="43"/>
      <c r="L45" s="52"/>
      <c r="M45" s="53"/>
      <c r="N45" s="49"/>
      <c r="O45" s="49"/>
    </row>
    <row r="46" ht="15.75" customHeight="1">
      <c r="A46" s="50"/>
      <c r="B46" s="50"/>
      <c r="C46" s="51"/>
      <c r="D46" s="51"/>
      <c r="E46" s="43"/>
      <c r="F46" s="43"/>
      <c r="G46" s="43"/>
      <c r="H46" s="43"/>
      <c r="I46" s="49"/>
      <c r="J46" s="43"/>
      <c r="K46" s="43"/>
      <c r="L46" s="52"/>
      <c r="M46" s="53"/>
      <c r="N46" s="49"/>
      <c r="O46" s="49"/>
    </row>
    <row r="47" ht="15.75" customHeight="1">
      <c r="A47" s="50"/>
      <c r="B47" s="50"/>
      <c r="C47" s="51"/>
      <c r="D47" s="51"/>
      <c r="E47" s="43"/>
      <c r="F47" s="43"/>
      <c r="G47" s="43"/>
      <c r="H47" s="43"/>
      <c r="I47" s="49"/>
      <c r="J47" s="43"/>
      <c r="K47" s="43"/>
      <c r="L47" s="52"/>
      <c r="M47" s="53"/>
      <c r="N47" s="49"/>
      <c r="O47" s="49"/>
    </row>
    <row r="48" ht="15.75" customHeight="1">
      <c r="A48" s="50"/>
      <c r="B48" s="50"/>
      <c r="C48" s="51"/>
      <c r="D48" s="51"/>
      <c r="E48" s="43"/>
      <c r="F48" s="43"/>
      <c r="G48" s="43"/>
      <c r="H48" s="43"/>
      <c r="I48" s="49"/>
      <c r="J48" s="43"/>
      <c r="K48" s="43"/>
      <c r="L48" s="52"/>
      <c r="M48" s="53"/>
      <c r="N48" s="49"/>
      <c r="O48" s="49"/>
    </row>
    <row r="49" ht="15.75" customHeight="1">
      <c r="A49" s="50"/>
      <c r="B49" s="50"/>
      <c r="C49" s="51"/>
      <c r="D49" s="51"/>
      <c r="E49" s="43"/>
      <c r="F49" s="43"/>
      <c r="G49" s="43"/>
      <c r="H49" s="43"/>
      <c r="I49" s="49"/>
      <c r="J49" s="43"/>
      <c r="K49" s="43"/>
      <c r="L49" s="52"/>
      <c r="M49" s="53"/>
      <c r="N49" s="49"/>
      <c r="O49" s="49"/>
    </row>
    <row r="50" ht="15.75" customHeight="1">
      <c r="A50" s="50"/>
      <c r="B50" s="50"/>
      <c r="C50" s="51"/>
      <c r="D50" s="51"/>
      <c r="E50" s="43"/>
      <c r="F50" s="43"/>
      <c r="G50" s="43"/>
      <c r="H50" s="43"/>
      <c r="I50" s="49"/>
      <c r="J50" s="43"/>
      <c r="K50" s="43"/>
      <c r="L50" s="52"/>
      <c r="M50" s="53"/>
      <c r="N50" s="49"/>
      <c r="O50" s="49"/>
    </row>
    <row r="51" ht="15.75" customHeight="1">
      <c r="A51" s="50"/>
      <c r="B51" s="50"/>
      <c r="C51" s="51"/>
      <c r="D51" s="51"/>
      <c r="E51" s="43"/>
      <c r="F51" s="43"/>
      <c r="G51" s="43"/>
      <c r="H51" s="43"/>
      <c r="I51" s="49"/>
      <c r="J51" s="43"/>
      <c r="K51" s="43"/>
      <c r="L51" s="52"/>
      <c r="M51" s="53"/>
      <c r="N51" s="49"/>
      <c r="O51" s="49"/>
    </row>
    <row r="52" ht="15.75" customHeight="1">
      <c r="A52" s="50"/>
      <c r="B52" s="50"/>
      <c r="C52" s="51"/>
      <c r="D52" s="51"/>
      <c r="E52" s="43"/>
      <c r="F52" s="43"/>
      <c r="G52" s="43"/>
      <c r="H52" s="43"/>
      <c r="I52" s="49"/>
      <c r="J52" s="43"/>
      <c r="K52" s="43"/>
      <c r="L52" s="52"/>
      <c r="M52" s="53"/>
      <c r="N52" s="49"/>
      <c r="O52" s="49"/>
    </row>
    <row r="53" ht="15.75" customHeight="1">
      <c r="A53" s="50"/>
      <c r="B53" s="50"/>
      <c r="C53" s="51"/>
      <c r="D53" s="51"/>
      <c r="E53" s="43"/>
      <c r="F53" s="43"/>
      <c r="G53" s="43"/>
      <c r="H53" s="43"/>
      <c r="I53" s="49"/>
      <c r="J53" s="43"/>
      <c r="K53" s="43"/>
      <c r="L53" s="52"/>
      <c r="M53" s="53"/>
      <c r="N53" s="49"/>
      <c r="O53" s="49"/>
    </row>
    <row r="54" ht="15.75" customHeight="1">
      <c r="A54" s="50"/>
      <c r="B54" s="50"/>
      <c r="C54" s="51"/>
      <c r="D54" s="51"/>
      <c r="E54" s="43"/>
      <c r="F54" s="43"/>
      <c r="G54" s="43"/>
      <c r="H54" s="43"/>
      <c r="I54" s="49"/>
      <c r="J54" s="43"/>
      <c r="K54" s="43"/>
      <c r="L54" s="52"/>
      <c r="M54" s="53"/>
      <c r="N54" s="49"/>
      <c r="O54" s="49"/>
    </row>
    <row r="55" ht="15.75" customHeight="1">
      <c r="A55" s="50"/>
      <c r="B55" s="50"/>
      <c r="C55" s="51"/>
      <c r="D55" s="51"/>
      <c r="E55" s="43"/>
      <c r="F55" s="43"/>
      <c r="G55" s="43"/>
      <c r="H55" s="43"/>
      <c r="I55" s="49"/>
      <c r="J55" s="43"/>
      <c r="K55" s="43"/>
      <c r="L55" s="52"/>
      <c r="M55" s="53"/>
      <c r="N55" s="49"/>
      <c r="O55" s="49"/>
    </row>
    <row r="56" ht="15.75" customHeight="1">
      <c r="A56" s="50"/>
      <c r="B56" s="50"/>
      <c r="C56" s="51"/>
      <c r="D56" s="51"/>
      <c r="E56" s="43"/>
      <c r="F56" s="43"/>
      <c r="G56" s="43"/>
      <c r="H56" s="43"/>
      <c r="I56" s="49"/>
      <c r="J56" s="43"/>
      <c r="K56" s="43"/>
      <c r="L56" s="52"/>
      <c r="M56" s="53"/>
      <c r="N56" s="49"/>
      <c r="O56" s="49"/>
    </row>
    <row r="57" ht="15.75" customHeight="1">
      <c r="A57" s="50"/>
      <c r="B57" s="50"/>
      <c r="C57" s="51"/>
      <c r="D57" s="51"/>
      <c r="E57" s="43"/>
      <c r="F57" s="43"/>
      <c r="G57" s="43"/>
      <c r="H57" s="43"/>
      <c r="I57" s="49"/>
      <c r="J57" s="43"/>
      <c r="K57" s="43"/>
      <c r="L57" s="52"/>
      <c r="M57" s="53"/>
      <c r="N57" s="49"/>
      <c r="O57" s="49"/>
    </row>
    <row r="58" ht="15.75" customHeight="1">
      <c r="A58" s="50"/>
      <c r="B58" s="50"/>
      <c r="C58" s="51"/>
      <c r="D58" s="51"/>
      <c r="E58" s="43"/>
      <c r="F58" s="43"/>
      <c r="G58" s="43"/>
      <c r="H58" s="43"/>
      <c r="I58" s="49"/>
      <c r="J58" s="43"/>
      <c r="K58" s="43"/>
      <c r="L58" s="52"/>
      <c r="M58" s="53"/>
      <c r="N58" s="49"/>
      <c r="O58" s="49"/>
    </row>
    <row r="59" ht="15.75" customHeight="1">
      <c r="A59" s="50"/>
      <c r="B59" s="50"/>
      <c r="C59" s="51"/>
      <c r="D59" s="51"/>
      <c r="E59" s="43"/>
      <c r="F59" s="43"/>
      <c r="G59" s="43"/>
      <c r="H59" s="43"/>
      <c r="I59" s="49"/>
      <c r="J59" s="43"/>
      <c r="K59" s="43"/>
      <c r="L59" s="52"/>
      <c r="M59" s="53"/>
      <c r="N59" s="49"/>
      <c r="O59" s="49"/>
    </row>
    <row r="60" ht="15.75" customHeight="1">
      <c r="A60" s="50"/>
      <c r="B60" s="50"/>
      <c r="C60" s="51"/>
      <c r="D60" s="51"/>
      <c r="E60" s="43"/>
      <c r="F60" s="43"/>
      <c r="G60" s="43"/>
      <c r="H60" s="43"/>
      <c r="I60" s="49"/>
      <c r="J60" s="43"/>
      <c r="K60" s="43"/>
      <c r="L60" s="52"/>
      <c r="M60" s="53"/>
      <c r="N60" s="49"/>
      <c r="O60" s="49"/>
    </row>
    <row r="61" ht="15.75" customHeight="1">
      <c r="A61" s="50"/>
      <c r="B61" s="50"/>
      <c r="C61" s="51"/>
      <c r="D61" s="51"/>
      <c r="E61" s="43"/>
      <c r="F61" s="43"/>
      <c r="G61" s="43"/>
      <c r="H61" s="43"/>
      <c r="I61" s="49"/>
      <c r="J61" s="43"/>
      <c r="K61" s="43"/>
      <c r="L61" s="52"/>
      <c r="M61" s="53"/>
      <c r="N61" s="49"/>
      <c r="O61" s="49"/>
    </row>
    <row r="62" ht="15.75" customHeight="1">
      <c r="A62" s="50"/>
      <c r="B62" s="50"/>
      <c r="C62" s="51"/>
      <c r="D62" s="51"/>
      <c r="E62" s="43"/>
      <c r="F62" s="43"/>
      <c r="G62" s="43"/>
      <c r="H62" s="43"/>
      <c r="I62" s="49"/>
      <c r="J62" s="43"/>
      <c r="K62" s="43"/>
      <c r="L62" s="52"/>
      <c r="M62" s="53"/>
      <c r="N62" s="49"/>
      <c r="O62" s="49"/>
    </row>
    <row r="63" ht="15.75" customHeight="1">
      <c r="A63" s="50"/>
      <c r="B63" s="50"/>
      <c r="C63" s="51"/>
      <c r="D63" s="51"/>
      <c r="E63" s="43"/>
      <c r="F63" s="43"/>
      <c r="G63" s="43"/>
      <c r="H63" s="43"/>
      <c r="I63" s="49"/>
      <c r="J63" s="43"/>
      <c r="K63" s="43"/>
      <c r="L63" s="52"/>
      <c r="M63" s="53"/>
      <c r="N63" s="49"/>
      <c r="O63" s="49"/>
    </row>
    <row r="64" ht="15.75" customHeight="1">
      <c r="A64" s="50"/>
      <c r="B64" s="50"/>
      <c r="C64" s="51"/>
      <c r="D64" s="51"/>
      <c r="E64" s="43"/>
      <c r="F64" s="43"/>
      <c r="G64" s="43"/>
      <c r="H64" s="43"/>
      <c r="I64" s="49"/>
      <c r="J64" s="43"/>
      <c r="K64" s="43"/>
      <c r="L64" s="52"/>
      <c r="M64" s="53"/>
      <c r="N64" s="49"/>
      <c r="O64" s="49"/>
    </row>
    <row r="65" ht="15.75" customHeight="1">
      <c r="A65" s="50"/>
      <c r="B65" s="50"/>
      <c r="C65" s="51"/>
      <c r="D65" s="51"/>
      <c r="E65" s="43"/>
      <c r="F65" s="43"/>
      <c r="G65" s="43"/>
      <c r="H65" s="43"/>
      <c r="I65" s="49"/>
      <c r="J65" s="43"/>
      <c r="K65" s="43"/>
      <c r="L65" s="52"/>
      <c r="M65" s="53"/>
      <c r="N65" s="49"/>
      <c r="O65" s="49"/>
    </row>
    <row r="66" ht="15.75" customHeight="1">
      <c r="A66" s="50"/>
      <c r="B66" s="50"/>
      <c r="C66" s="51"/>
      <c r="D66" s="51"/>
      <c r="E66" s="43"/>
      <c r="F66" s="43"/>
      <c r="G66" s="43"/>
      <c r="H66" s="43"/>
      <c r="I66" s="49"/>
      <c r="J66" s="43"/>
      <c r="K66" s="43"/>
      <c r="L66" s="52"/>
      <c r="M66" s="53"/>
      <c r="N66" s="49"/>
      <c r="O66" s="49"/>
    </row>
    <row r="67" ht="15.75" customHeight="1">
      <c r="A67" s="50"/>
      <c r="B67" s="50"/>
      <c r="C67" s="51"/>
      <c r="D67" s="51"/>
      <c r="E67" s="43"/>
      <c r="F67" s="43"/>
      <c r="G67" s="43"/>
      <c r="H67" s="43"/>
      <c r="I67" s="49"/>
      <c r="J67" s="43"/>
      <c r="K67" s="43"/>
      <c r="L67" s="52"/>
      <c r="M67" s="53"/>
      <c r="N67" s="49"/>
      <c r="O67" s="49"/>
    </row>
    <row r="68" ht="15.75" customHeight="1">
      <c r="A68" s="50"/>
      <c r="B68" s="50"/>
      <c r="C68" s="51"/>
      <c r="D68" s="51"/>
      <c r="E68" s="43"/>
      <c r="F68" s="43"/>
      <c r="G68" s="43"/>
      <c r="H68" s="43"/>
      <c r="I68" s="49"/>
      <c r="J68" s="43"/>
      <c r="K68" s="43"/>
      <c r="L68" s="52"/>
      <c r="M68" s="53"/>
      <c r="N68" s="49"/>
      <c r="O68" s="49"/>
    </row>
    <row r="69" ht="15.75" customHeight="1">
      <c r="A69" s="50"/>
      <c r="B69" s="50"/>
      <c r="C69" s="51"/>
      <c r="D69" s="51"/>
      <c r="E69" s="43"/>
      <c r="F69" s="43"/>
      <c r="G69" s="43"/>
      <c r="H69" s="43"/>
      <c r="I69" s="49"/>
      <c r="J69" s="43"/>
      <c r="K69" s="43"/>
      <c r="L69" s="52"/>
      <c r="M69" s="53"/>
      <c r="N69" s="49"/>
      <c r="O69" s="49"/>
    </row>
    <row r="70" ht="15.75" customHeight="1">
      <c r="A70" s="50"/>
      <c r="B70" s="50"/>
      <c r="C70" s="51"/>
      <c r="D70" s="51"/>
      <c r="E70" s="43"/>
      <c r="F70" s="43"/>
      <c r="G70" s="43"/>
      <c r="H70" s="43"/>
      <c r="I70" s="49"/>
      <c r="J70" s="43"/>
      <c r="K70" s="43"/>
      <c r="L70" s="52"/>
      <c r="M70" s="53"/>
      <c r="N70" s="49"/>
      <c r="O70" s="49"/>
    </row>
    <row r="71" ht="15.75" customHeight="1">
      <c r="A71" s="50"/>
      <c r="B71" s="50"/>
      <c r="C71" s="51"/>
      <c r="D71" s="51"/>
      <c r="E71" s="43"/>
      <c r="F71" s="43"/>
      <c r="G71" s="43"/>
      <c r="H71" s="43"/>
      <c r="I71" s="49"/>
      <c r="J71" s="43"/>
      <c r="K71" s="43"/>
      <c r="L71" s="52"/>
      <c r="M71" s="53"/>
      <c r="N71" s="49"/>
      <c r="O71" s="49"/>
    </row>
    <row r="72" ht="15.75" customHeight="1">
      <c r="A72" s="50"/>
      <c r="B72" s="50"/>
      <c r="C72" s="51"/>
      <c r="D72" s="51"/>
      <c r="E72" s="43"/>
      <c r="F72" s="43"/>
      <c r="G72" s="43"/>
      <c r="H72" s="43"/>
      <c r="I72" s="49"/>
      <c r="J72" s="43"/>
      <c r="K72" s="43"/>
      <c r="L72" s="52"/>
      <c r="M72" s="53"/>
      <c r="N72" s="49"/>
      <c r="O72" s="49"/>
    </row>
    <row r="73" ht="15.75" customHeight="1">
      <c r="A73" s="50"/>
      <c r="B73" s="50"/>
      <c r="C73" s="51"/>
      <c r="D73" s="51"/>
      <c r="E73" s="43"/>
      <c r="F73" s="43"/>
      <c r="G73" s="43"/>
      <c r="H73" s="43"/>
      <c r="I73" s="49"/>
      <c r="J73" s="43"/>
      <c r="K73" s="43"/>
      <c r="L73" s="52"/>
      <c r="M73" s="53"/>
      <c r="N73" s="49"/>
      <c r="O73" s="49"/>
    </row>
    <row r="74" ht="15.75" customHeight="1">
      <c r="A74" s="50"/>
      <c r="B74" s="50"/>
      <c r="C74" s="51"/>
      <c r="D74" s="51"/>
      <c r="E74" s="43"/>
      <c r="F74" s="43"/>
      <c r="G74" s="43"/>
      <c r="H74" s="43"/>
      <c r="I74" s="49"/>
      <c r="J74" s="43"/>
      <c r="K74" s="43"/>
      <c r="L74" s="52"/>
      <c r="M74" s="53"/>
      <c r="N74" s="49"/>
      <c r="O74" s="49"/>
    </row>
    <row r="75" ht="15.75" customHeight="1">
      <c r="A75" s="50"/>
      <c r="B75" s="50"/>
      <c r="C75" s="51"/>
      <c r="D75" s="51"/>
      <c r="E75" s="43"/>
      <c r="F75" s="43"/>
      <c r="G75" s="43"/>
      <c r="H75" s="43"/>
      <c r="I75" s="49"/>
      <c r="J75" s="43"/>
      <c r="K75" s="43"/>
      <c r="L75" s="52"/>
      <c r="M75" s="53"/>
      <c r="N75" s="49"/>
      <c r="O75" s="49"/>
    </row>
    <row r="76" ht="15.75" customHeight="1">
      <c r="A76" s="50"/>
      <c r="B76" s="50"/>
      <c r="C76" s="51"/>
      <c r="D76" s="51"/>
      <c r="E76" s="43"/>
      <c r="F76" s="43"/>
      <c r="G76" s="43"/>
      <c r="H76" s="43"/>
      <c r="I76" s="49"/>
      <c r="J76" s="43"/>
      <c r="K76" s="43"/>
      <c r="L76" s="52"/>
      <c r="M76" s="53"/>
      <c r="N76" s="49"/>
      <c r="O76" s="49"/>
    </row>
    <row r="77" ht="15.75" customHeight="1">
      <c r="A77" s="50"/>
      <c r="B77" s="50"/>
      <c r="C77" s="51"/>
      <c r="D77" s="51"/>
      <c r="E77" s="43"/>
      <c r="F77" s="43"/>
      <c r="G77" s="43"/>
      <c r="H77" s="43"/>
      <c r="I77" s="49"/>
      <c r="J77" s="43"/>
      <c r="K77" s="43"/>
      <c r="L77" s="52"/>
      <c r="M77" s="53"/>
      <c r="N77" s="49"/>
      <c r="O77" s="49"/>
    </row>
    <row r="78" ht="15.75" customHeight="1">
      <c r="A78" s="50"/>
      <c r="B78" s="50"/>
      <c r="C78" s="51"/>
      <c r="D78" s="51"/>
      <c r="E78" s="43"/>
      <c r="F78" s="43"/>
      <c r="G78" s="43"/>
      <c r="H78" s="43"/>
      <c r="I78" s="49"/>
      <c r="J78" s="43"/>
      <c r="K78" s="43"/>
      <c r="L78" s="52"/>
      <c r="M78" s="53"/>
      <c r="N78" s="49"/>
      <c r="O78" s="49"/>
    </row>
    <row r="79" ht="15.75" customHeight="1">
      <c r="A79" s="50"/>
      <c r="B79" s="50"/>
      <c r="C79" s="51"/>
      <c r="D79" s="51"/>
      <c r="E79" s="43"/>
      <c r="F79" s="43"/>
      <c r="G79" s="43"/>
      <c r="H79" s="43"/>
      <c r="I79" s="49"/>
      <c r="J79" s="43"/>
      <c r="K79" s="43"/>
      <c r="L79" s="52"/>
      <c r="M79" s="53"/>
      <c r="N79" s="49"/>
      <c r="O79" s="49"/>
    </row>
    <row r="80" ht="15.75" customHeight="1">
      <c r="A80" s="50"/>
      <c r="B80" s="50"/>
      <c r="C80" s="51"/>
      <c r="D80" s="51"/>
      <c r="E80" s="43"/>
      <c r="F80" s="43"/>
      <c r="G80" s="43"/>
      <c r="H80" s="43"/>
      <c r="I80" s="49"/>
      <c r="J80" s="43"/>
      <c r="K80" s="43"/>
      <c r="L80" s="52"/>
      <c r="M80" s="53"/>
      <c r="N80" s="49"/>
      <c r="O80" s="49"/>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M1"/>
  </mergeCells>
  <conditionalFormatting sqref="J14:J43">
    <cfRule type="cellIs" dxfId="3" priority="1" operator="greaterThan">
      <formula>0</formula>
    </cfRule>
  </conditionalFormatting>
  <conditionalFormatting sqref="J14:J80">
    <cfRule type="expression" dxfId="1" priority="2">
      <formula>J14&gt;0</formula>
    </cfRule>
  </conditionalFormatting>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25.0"/>
    <col customWidth="1" min="3" max="4" width="9.0"/>
    <col customWidth="1" min="5" max="7" width="16.0"/>
    <col customWidth="1" min="8" max="10" width="13.0"/>
    <col customWidth="1" min="11" max="11" width="16.0"/>
    <col customWidth="1" min="12" max="12" width="13.0"/>
    <col customWidth="1" min="13" max="13" width="32.0"/>
    <col customWidth="1" min="14" max="15" width="16.0"/>
  </cols>
  <sheetData>
    <row r="1" ht="30.0" customHeight="1">
      <c r="A1" s="1" t="s">
        <v>130</v>
      </c>
      <c r="N1" s="2"/>
      <c r="O1" s="2"/>
    </row>
    <row r="2">
      <c r="A2" s="3"/>
      <c r="B2" s="3"/>
      <c r="C2" s="3"/>
      <c r="D2" s="3"/>
      <c r="E2" s="3"/>
      <c r="F2" s="3"/>
      <c r="G2" s="3"/>
      <c r="H2" s="3"/>
      <c r="I2" s="3"/>
      <c r="J2" s="3"/>
      <c r="K2" s="3"/>
      <c r="L2" s="3"/>
      <c r="M2" s="3"/>
      <c r="N2" s="3"/>
      <c r="O2" s="3"/>
    </row>
    <row r="3">
      <c r="A3" s="4" t="s">
        <v>95</v>
      </c>
      <c r="B3" s="4" t="s">
        <v>6</v>
      </c>
      <c r="C3" s="3"/>
      <c r="D3" s="4" t="s">
        <v>96</v>
      </c>
      <c r="E3" s="4" t="s">
        <v>6</v>
      </c>
      <c r="F3" s="3"/>
      <c r="G3" s="3"/>
      <c r="H3" s="3"/>
      <c r="I3" s="3"/>
      <c r="J3" s="3"/>
      <c r="K3" s="3"/>
      <c r="L3" s="3"/>
      <c r="M3" s="3"/>
      <c r="N3" s="3"/>
      <c r="O3" s="3"/>
    </row>
    <row r="4">
      <c r="A4" s="38" t="s">
        <v>10</v>
      </c>
      <c r="B4" s="39" t="str">
        <f>IF(DANH_MUC_LOP!B14="","",DANH_MUC_LOP!B14)</f>
        <v/>
      </c>
      <c r="C4" s="3"/>
      <c r="D4" s="40" t="s">
        <v>97</v>
      </c>
      <c r="E4" s="41">
        <f>SUM(J14:J43)</f>
        <v>0</v>
      </c>
      <c r="F4" s="3"/>
      <c r="G4" s="3"/>
      <c r="H4" s="3"/>
      <c r="I4" s="3"/>
      <c r="J4" s="3"/>
      <c r="K4" s="3"/>
      <c r="L4" s="3"/>
      <c r="M4" s="3"/>
      <c r="N4" s="3"/>
      <c r="O4" s="3"/>
    </row>
    <row r="5">
      <c r="A5" s="38" t="s">
        <v>19</v>
      </c>
      <c r="B5" s="39" t="str">
        <f>IF(DANH_MUC_LOP!C14="","",DANH_MUC_LOP!C14)</f>
        <v/>
      </c>
      <c r="C5" s="3"/>
      <c r="D5" s="40" t="s">
        <v>65</v>
      </c>
      <c r="E5" s="41">
        <f>SUM(K14:K43)</f>
        <v>0</v>
      </c>
      <c r="F5" s="3"/>
      <c r="G5" s="3"/>
      <c r="H5" s="3"/>
      <c r="I5" s="3"/>
      <c r="J5" s="3"/>
      <c r="K5" s="3"/>
      <c r="L5" s="3"/>
      <c r="M5" s="3"/>
      <c r="N5" s="3"/>
      <c r="O5" s="3"/>
    </row>
    <row r="6">
      <c r="A6" s="38" t="s">
        <v>98</v>
      </c>
      <c r="B6" s="39" t="str">
        <f>IFERROR(IF(DANH_MUC_LOP!R14&gt;0,DANH_MUC_LOP!R14,LOP_11!$B$16),0)</f>
        <v/>
      </c>
      <c r="C6" s="3"/>
      <c r="D6" s="40" t="s">
        <v>99</v>
      </c>
      <c r="E6" s="41">
        <f>IF(B4="",0,SUMIF(THUONG_HOC_SINH!$A$4:$A$83,B4,THUONG_HOC_SINH!$D$4:$D$83))</f>
        <v>0</v>
      </c>
      <c r="F6" s="3"/>
      <c r="G6" s="3"/>
      <c r="H6" s="3"/>
      <c r="I6" s="3"/>
      <c r="J6" s="3"/>
      <c r="K6" s="3"/>
      <c r="L6" s="3"/>
      <c r="M6" s="3"/>
      <c r="N6" s="3"/>
      <c r="O6" s="3"/>
    </row>
    <row r="7">
      <c r="A7" s="38" t="s">
        <v>23</v>
      </c>
      <c r="B7" s="41" t="str">
        <f>IF(DANH_MUC_LOP!B14="","",DANH_MUC_LOP!F14)</f>
        <v/>
      </c>
      <c r="C7" s="3"/>
      <c r="D7" s="42"/>
      <c r="E7" s="43"/>
      <c r="F7" s="3"/>
      <c r="G7" s="3"/>
      <c r="H7" s="3"/>
      <c r="I7" s="3"/>
      <c r="J7" s="3"/>
      <c r="K7" s="3"/>
      <c r="L7" s="3"/>
      <c r="M7" s="3"/>
      <c r="N7" s="3"/>
      <c r="O7" s="3"/>
    </row>
    <row r="8">
      <c r="A8" s="38" t="s">
        <v>31</v>
      </c>
      <c r="B8" s="39" t="str">
        <f>IF(DANH_MUC_LOP!B14="","",DANH_MUC_LOP!N14)</f>
        <v/>
      </c>
      <c r="C8" s="3"/>
      <c r="D8" s="42"/>
      <c r="E8" s="43"/>
      <c r="F8" s="3"/>
      <c r="G8" s="3"/>
      <c r="H8" s="3"/>
      <c r="I8" s="3"/>
      <c r="J8" s="3"/>
      <c r="K8" s="3"/>
      <c r="L8" s="3"/>
      <c r="M8" s="3"/>
      <c r="N8" s="3"/>
      <c r="O8" s="3"/>
    </row>
    <row r="9">
      <c r="A9" s="38" t="s">
        <v>100</v>
      </c>
      <c r="B9" s="39">
        <f>COUNTIF(A14:A43,"?*")</f>
        <v>0</v>
      </c>
      <c r="C9" s="3"/>
      <c r="D9" s="42"/>
      <c r="E9" s="43"/>
      <c r="F9" s="3"/>
      <c r="G9" s="3"/>
      <c r="H9" s="3"/>
      <c r="I9" s="3"/>
      <c r="J9" s="3"/>
      <c r="K9" s="3"/>
      <c r="L9" s="3"/>
      <c r="M9" s="3"/>
      <c r="N9" s="3"/>
      <c r="O9" s="3"/>
    </row>
    <row r="10">
      <c r="A10" s="38" t="s">
        <v>101</v>
      </c>
      <c r="B10" s="41">
        <f>SUM(H14:H43)</f>
        <v>0</v>
      </c>
      <c r="C10" s="3"/>
      <c r="D10" s="42"/>
      <c r="E10" s="43"/>
      <c r="F10" s="3"/>
      <c r="G10" s="3"/>
      <c r="H10" s="3"/>
      <c r="I10" s="3"/>
      <c r="J10" s="3"/>
      <c r="K10" s="3"/>
      <c r="L10" s="3"/>
      <c r="M10" s="3"/>
      <c r="N10" s="3"/>
      <c r="O10" s="3"/>
    </row>
    <row r="11">
      <c r="A11" s="38" t="s">
        <v>102</v>
      </c>
      <c r="B11" s="41">
        <f>SUM(I14:I43)</f>
        <v>0</v>
      </c>
      <c r="C11" s="3"/>
      <c r="D11" s="42"/>
      <c r="E11" s="43"/>
      <c r="F11" s="3"/>
      <c r="G11" s="3"/>
      <c r="H11" s="3"/>
      <c r="I11" s="3"/>
      <c r="J11" s="3"/>
      <c r="K11" s="3"/>
      <c r="L11" s="3"/>
      <c r="M11" s="3"/>
      <c r="N11" s="3"/>
      <c r="O11" s="3"/>
    </row>
    <row r="12">
      <c r="A12" s="3"/>
      <c r="B12" s="3"/>
      <c r="C12" s="3"/>
      <c r="D12" s="3"/>
      <c r="E12" s="3"/>
      <c r="F12" s="3"/>
      <c r="G12" s="3"/>
      <c r="H12" s="3"/>
      <c r="I12" s="3"/>
      <c r="J12" s="3"/>
      <c r="K12" s="3"/>
      <c r="L12" s="3"/>
      <c r="M12" s="3"/>
      <c r="N12" s="3"/>
      <c r="O12" s="3"/>
    </row>
    <row r="13" ht="27.75" customHeight="1">
      <c r="A13" s="5" t="s">
        <v>14</v>
      </c>
      <c r="B13" s="5" t="s">
        <v>16</v>
      </c>
      <c r="C13" s="5" t="s">
        <v>104</v>
      </c>
      <c r="D13" s="5" t="s">
        <v>105</v>
      </c>
      <c r="E13" s="5" t="s">
        <v>106</v>
      </c>
      <c r="F13" s="5" t="s">
        <v>107</v>
      </c>
      <c r="G13" s="5" t="s">
        <v>64</v>
      </c>
      <c r="H13" s="5" t="s">
        <v>108</v>
      </c>
      <c r="I13" s="5" t="s">
        <v>102</v>
      </c>
      <c r="J13" s="5" t="s">
        <v>97</v>
      </c>
      <c r="K13" s="5" t="s">
        <v>65</v>
      </c>
      <c r="L13" s="5" t="s">
        <v>109</v>
      </c>
      <c r="M13" s="5" t="s">
        <v>15</v>
      </c>
      <c r="N13" s="5" t="s">
        <v>110</v>
      </c>
      <c r="O13" s="5" t="s">
        <v>111</v>
      </c>
    </row>
    <row r="14">
      <c r="A14" s="45" t="str">
        <f>IFERROR(LOP_11!$A$21,"")</f>
        <v/>
      </c>
      <c r="B14" s="45" t="str">
        <f>IFERROR(LOP_11!$B$21,"")</f>
        <v/>
      </c>
      <c r="C14" s="46" t="str">
        <f>IFERROR(LOP_11!$AH$21,"")</f>
        <v/>
      </c>
      <c r="D14" s="46" t="str">
        <f>IFERROR(LOP_11!$AI$21,"")</f>
        <v/>
      </c>
      <c r="E14" s="41" t="str">
        <f t="shared" ref="E14:E43" si="1">IF(A14="","",$B$7)</f>
        <v/>
      </c>
      <c r="F14" s="41" t="str">
        <f t="shared" ref="F14:F43" si="2">IF(A14="","",IF($B$8="Thu trước",$B$6*E14,C14*E14))</f>
        <v/>
      </c>
      <c r="G14" s="41" t="str">
        <f>IF(A14="","",SUMIFS(CHUYEN_THANG!$D$4:$D$403,CHUYEN_THANG!$A$4:$A$403,$B$4,CHUYEN_THANG!$B$4:$B$403,A14))</f>
        <v/>
      </c>
      <c r="H14" s="41" t="str">
        <f t="shared" ref="H14:H43" si="3">IF(A14="","",IF(O14&lt;&gt;"",MAX(0,O14),MAX(0,F14-G14+N14)))</f>
        <v/>
      </c>
      <c r="I14" s="11"/>
      <c r="J14" s="41" t="str">
        <f t="shared" ref="J14:J43" si="4">IF(A14="","",MAX(0,H14-I14))</f>
        <v/>
      </c>
      <c r="K14" s="41" t="str">
        <f t="shared" ref="K14:K43" si="5">IF(A14="","",IF($B$8="Thu trước",D14*E14,0))</f>
        <v/>
      </c>
      <c r="L14" s="48"/>
      <c r="M14" s="9"/>
      <c r="N14" s="49"/>
      <c r="O14" s="49"/>
    </row>
    <row r="15">
      <c r="A15" s="45" t="str">
        <f>IFERROR(LOP_11!$A$22,"")</f>
        <v/>
      </c>
      <c r="B15" s="45" t="str">
        <f>IFERROR(LOP_11!$B$22,"")</f>
        <v/>
      </c>
      <c r="C15" s="46" t="str">
        <f>IFERROR(LOP_11!$AH$22,"")</f>
        <v/>
      </c>
      <c r="D15" s="46" t="str">
        <f>IFERROR(LOP_11!$AI$22,"")</f>
        <v/>
      </c>
      <c r="E15" s="41" t="str">
        <f t="shared" si="1"/>
        <v/>
      </c>
      <c r="F15" s="41" t="str">
        <f t="shared" si="2"/>
        <v/>
      </c>
      <c r="G15" s="41" t="str">
        <f>IF(A15="","",SUMIFS(CHUYEN_THANG!$D$4:$D$403,CHUYEN_THANG!$A$4:$A$403,$B$4,CHUYEN_THANG!$B$4:$B$403,A15))</f>
        <v/>
      </c>
      <c r="H15" s="41" t="str">
        <f t="shared" si="3"/>
        <v/>
      </c>
      <c r="I15" s="11"/>
      <c r="J15" s="41" t="str">
        <f t="shared" si="4"/>
        <v/>
      </c>
      <c r="K15" s="41" t="str">
        <f t="shared" si="5"/>
        <v/>
      </c>
      <c r="L15" s="48"/>
      <c r="M15" s="9"/>
      <c r="N15" s="49"/>
      <c r="O15" s="49"/>
    </row>
    <row r="16">
      <c r="A16" s="45" t="str">
        <f>IFERROR(LOP_11!$A$23,"")</f>
        <v/>
      </c>
      <c r="B16" s="45" t="str">
        <f>IFERROR(LOP_11!$B$23,"")</f>
        <v/>
      </c>
      <c r="C16" s="46" t="str">
        <f>IFERROR(LOP_11!$AH$23,"")</f>
        <v/>
      </c>
      <c r="D16" s="46" t="str">
        <f>IFERROR(LOP_11!$AI$23,"")</f>
        <v/>
      </c>
      <c r="E16" s="41" t="str">
        <f t="shared" si="1"/>
        <v/>
      </c>
      <c r="F16" s="41" t="str">
        <f t="shared" si="2"/>
        <v/>
      </c>
      <c r="G16" s="41" t="str">
        <f>IF(A16="","",SUMIFS(CHUYEN_THANG!$D$4:$D$403,CHUYEN_THANG!$A$4:$A$403,$B$4,CHUYEN_THANG!$B$4:$B$403,A16))</f>
        <v/>
      </c>
      <c r="H16" s="41" t="str">
        <f t="shared" si="3"/>
        <v/>
      </c>
      <c r="I16" s="11"/>
      <c r="J16" s="41" t="str">
        <f t="shared" si="4"/>
        <v/>
      </c>
      <c r="K16" s="41" t="str">
        <f t="shared" si="5"/>
        <v/>
      </c>
      <c r="L16" s="48"/>
      <c r="M16" s="9"/>
      <c r="N16" s="49"/>
      <c r="O16" s="49"/>
    </row>
    <row r="17">
      <c r="A17" s="45" t="str">
        <f>IFERROR(LOP_11!$A$24,"")</f>
        <v/>
      </c>
      <c r="B17" s="45" t="str">
        <f>IFERROR(LOP_11!$B$24,"")</f>
        <v/>
      </c>
      <c r="C17" s="46" t="str">
        <f>IFERROR(LOP_11!$AH$24,"")</f>
        <v/>
      </c>
      <c r="D17" s="46" t="str">
        <f>IFERROR(LOP_11!$AI$24,"")</f>
        <v/>
      </c>
      <c r="E17" s="41" t="str">
        <f t="shared" si="1"/>
        <v/>
      </c>
      <c r="F17" s="41" t="str">
        <f t="shared" si="2"/>
        <v/>
      </c>
      <c r="G17" s="41" t="str">
        <f>IF(A17="","",SUMIFS(CHUYEN_THANG!$D$4:$D$403,CHUYEN_THANG!$A$4:$A$403,$B$4,CHUYEN_THANG!$B$4:$B$403,A17))</f>
        <v/>
      </c>
      <c r="H17" s="41" t="str">
        <f t="shared" si="3"/>
        <v/>
      </c>
      <c r="I17" s="11"/>
      <c r="J17" s="41" t="str">
        <f t="shared" si="4"/>
        <v/>
      </c>
      <c r="K17" s="41" t="str">
        <f t="shared" si="5"/>
        <v/>
      </c>
      <c r="L17" s="48"/>
      <c r="M17" s="9"/>
      <c r="N17" s="49"/>
      <c r="O17" s="49"/>
    </row>
    <row r="18">
      <c r="A18" s="45" t="str">
        <f>IFERROR(LOP_11!$A$25,"")</f>
        <v/>
      </c>
      <c r="B18" s="45" t="str">
        <f>IFERROR(LOP_11!$B$25,"")</f>
        <v/>
      </c>
      <c r="C18" s="46" t="str">
        <f>IFERROR(LOP_11!$AH$25,"")</f>
        <v/>
      </c>
      <c r="D18" s="46" t="str">
        <f>IFERROR(LOP_11!$AI$25,"")</f>
        <v/>
      </c>
      <c r="E18" s="41" t="str">
        <f t="shared" si="1"/>
        <v/>
      </c>
      <c r="F18" s="41" t="str">
        <f t="shared" si="2"/>
        <v/>
      </c>
      <c r="G18" s="41" t="str">
        <f>IF(A18="","",SUMIFS(CHUYEN_THANG!$D$4:$D$403,CHUYEN_THANG!$A$4:$A$403,$B$4,CHUYEN_THANG!$B$4:$B$403,A18))</f>
        <v/>
      </c>
      <c r="H18" s="41" t="str">
        <f t="shared" si="3"/>
        <v/>
      </c>
      <c r="I18" s="11"/>
      <c r="J18" s="41" t="str">
        <f t="shared" si="4"/>
        <v/>
      </c>
      <c r="K18" s="41" t="str">
        <f t="shared" si="5"/>
        <v/>
      </c>
      <c r="L18" s="48"/>
      <c r="M18" s="9"/>
      <c r="N18" s="49"/>
      <c r="O18" s="49"/>
    </row>
    <row r="19">
      <c r="A19" s="45" t="str">
        <f>IFERROR(LOP_11!$A$26,"")</f>
        <v/>
      </c>
      <c r="B19" s="45" t="str">
        <f>IFERROR(LOP_11!$B$26,"")</f>
        <v/>
      </c>
      <c r="C19" s="46" t="str">
        <f>IFERROR(LOP_11!$AH$26,"")</f>
        <v/>
      </c>
      <c r="D19" s="46" t="str">
        <f>IFERROR(LOP_11!$AI$26,"")</f>
        <v/>
      </c>
      <c r="E19" s="41" t="str">
        <f t="shared" si="1"/>
        <v/>
      </c>
      <c r="F19" s="41" t="str">
        <f t="shared" si="2"/>
        <v/>
      </c>
      <c r="G19" s="41" t="str">
        <f>IF(A19="","",SUMIFS(CHUYEN_THANG!$D$4:$D$403,CHUYEN_THANG!$A$4:$A$403,$B$4,CHUYEN_THANG!$B$4:$B$403,A19))</f>
        <v/>
      </c>
      <c r="H19" s="41" t="str">
        <f t="shared" si="3"/>
        <v/>
      </c>
      <c r="I19" s="11"/>
      <c r="J19" s="41" t="str">
        <f t="shared" si="4"/>
        <v/>
      </c>
      <c r="K19" s="41" t="str">
        <f t="shared" si="5"/>
        <v/>
      </c>
      <c r="L19" s="48"/>
      <c r="M19" s="9"/>
      <c r="N19" s="49"/>
      <c r="O19" s="49"/>
    </row>
    <row r="20">
      <c r="A20" s="45" t="str">
        <f>IFERROR(LOP_11!$A$27,"")</f>
        <v/>
      </c>
      <c r="B20" s="45" t="str">
        <f>IFERROR(LOP_11!$B$27,"")</f>
        <v/>
      </c>
      <c r="C20" s="46" t="str">
        <f>IFERROR(LOP_11!$AH$27,"")</f>
        <v/>
      </c>
      <c r="D20" s="46" t="str">
        <f>IFERROR(LOP_11!$AI$27,"")</f>
        <v/>
      </c>
      <c r="E20" s="41" t="str">
        <f t="shared" si="1"/>
        <v/>
      </c>
      <c r="F20" s="41" t="str">
        <f t="shared" si="2"/>
        <v/>
      </c>
      <c r="G20" s="41" t="str">
        <f>IF(A20="","",SUMIFS(CHUYEN_THANG!$D$4:$D$403,CHUYEN_THANG!$A$4:$A$403,$B$4,CHUYEN_THANG!$B$4:$B$403,A20))</f>
        <v/>
      </c>
      <c r="H20" s="41" t="str">
        <f t="shared" si="3"/>
        <v/>
      </c>
      <c r="I20" s="11"/>
      <c r="J20" s="41" t="str">
        <f t="shared" si="4"/>
        <v/>
      </c>
      <c r="K20" s="41" t="str">
        <f t="shared" si="5"/>
        <v/>
      </c>
      <c r="L20" s="48"/>
      <c r="M20" s="9"/>
      <c r="N20" s="49"/>
      <c r="O20" s="49"/>
    </row>
    <row r="21" ht="15.75" customHeight="1">
      <c r="A21" s="45" t="str">
        <f>IFERROR(LOP_11!$A$28,"")</f>
        <v/>
      </c>
      <c r="B21" s="45" t="str">
        <f>IFERROR(LOP_11!$B$28,"")</f>
        <v/>
      </c>
      <c r="C21" s="46" t="str">
        <f>IFERROR(LOP_11!$AH$28,"")</f>
        <v/>
      </c>
      <c r="D21" s="46" t="str">
        <f>IFERROR(LOP_11!$AI$28,"")</f>
        <v/>
      </c>
      <c r="E21" s="41" t="str">
        <f t="shared" si="1"/>
        <v/>
      </c>
      <c r="F21" s="41" t="str">
        <f t="shared" si="2"/>
        <v/>
      </c>
      <c r="G21" s="41" t="str">
        <f>IF(A21="","",SUMIFS(CHUYEN_THANG!$D$4:$D$403,CHUYEN_THANG!$A$4:$A$403,$B$4,CHUYEN_THANG!$B$4:$B$403,A21))</f>
        <v/>
      </c>
      <c r="H21" s="41" t="str">
        <f t="shared" si="3"/>
        <v/>
      </c>
      <c r="I21" s="11"/>
      <c r="J21" s="41" t="str">
        <f t="shared" si="4"/>
        <v/>
      </c>
      <c r="K21" s="41" t="str">
        <f t="shared" si="5"/>
        <v/>
      </c>
      <c r="L21" s="48"/>
      <c r="M21" s="9"/>
      <c r="N21" s="49"/>
      <c r="O21" s="49"/>
    </row>
    <row r="22" ht="15.75" customHeight="1">
      <c r="A22" s="45" t="str">
        <f>IFERROR(LOP_11!$A$29,"")</f>
        <v/>
      </c>
      <c r="B22" s="45" t="str">
        <f>IFERROR(LOP_11!$B$29,"")</f>
        <v/>
      </c>
      <c r="C22" s="46" t="str">
        <f>IFERROR(LOP_11!$AH$29,"")</f>
        <v/>
      </c>
      <c r="D22" s="46" t="str">
        <f>IFERROR(LOP_11!$AI$29,"")</f>
        <v/>
      </c>
      <c r="E22" s="41" t="str">
        <f t="shared" si="1"/>
        <v/>
      </c>
      <c r="F22" s="41" t="str">
        <f t="shared" si="2"/>
        <v/>
      </c>
      <c r="G22" s="41" t="str">
        <f>IF(A22="","",SUMIFS(CHUYEN_THANG!$D$4:$D$403,CHUYEN_THANG!$A$4:$A$403,$B$4,CHUYEN_THANG!$B$4:$B$403,A22))</f>
        <v/>
      </c>
      <c r="H22" s="41" t="str">
        <f t="shared" si="3"/>
        <v/>
      </c>
      <c r="I22" s="11"/>
      <c r="J22" s="41" t="str">
        <f t="shared" si="4"/>
        <v/>
      </c>
      <c r="K22" s="41" t="str">
        <f t="shared" si="5"/>
        <v/>
      </c>
      <c r="L22" s="48"/>
      <c r="M22" s="9"/>
      <c r="N22" s="49"/>
      <c r="O22" s="49"/>
    </row>
    <row r="23" ht="15.75" customHeight="1">
      <c r="A23" s="45" t="str">
        <f>IFERROR(LOP_11!$A$30,"")</f>
        <v/>
      </c>
      <c r="B23" s="45" t="str">
        <f>IFERROR(LOP_11!$B$30,"")</f>
        <v/>
      </c>
      <c r="C23" s="46" t="str">
        <f>IFERROR(LOP_11!$AH$30,"")</f>
        <v/>
      </c>
      <c r="D23" s="46" t="str">
        <f>IFERROR(LOP_11!$AI$30,"")</f>
        <v/>
      </c>
      <c r="E23" s="41" t="str">
        <f t="shared" si="1"/>
        <v/>
      </c>
      <c r="F23" s="41" t="str">
        <f t="shared" si="2"/>
        <v/>
      </c>
      <c r="G23" s="41" t="str">
        <f>IF(A23="","",SUMIFS(CHUYEN_THANG!$D$4:$D$403,CHUYEN_THANG!$A$4:$A$403,$B$4,CHUYEN_THANG!$B$4:$B$403,A23))</f>
        <v/>
      </c>
      <c r="H23" s="41" t="str">
        <f t="shared" si="3"/>
        <v/>
      </c>
      <c r="I23" s="11"/>
      <c r="J23" s="41" t="str">
        <f t="shared" si="4"/>
        <v/>
      </c>
      <c r="K23" s="41" t="str">
        <f t="shared" si="5"/>
        <v/>
      </c>
      <c r="L23" s="48"/>
      <c r="M23" s="9"/>
      <c r="N23" s="49"/>
      <c r="O23" s="49"/>
    </row>
    <row r="24" ht="15.75" customHeight="1">
      <c r="A24" s="45" t="str">
        <f>IFERROR(LOP_11!$A$31,"")</f>
        <v/>
      </c>
      <c r="B24" s="45" t="str">
        <f>IFERROR(LOP_11!$B$31,"")</f>
        <v/>
      </c>
      <c r="C24" s="46" t="str">
        <f>IFERROR(LOP_11!$AH$31,"")</f>
        <v/>
      </c>
      <c r="D24" s="46" t="str">
        <f>IFERROR(LOP_11!$AI$31,"")</f>
        <v/>
      </c>
      <c r="E24" s="41" t="str">
        <f t="shared" si="1"/>
        <v/>
      </c>
      <c r="F24" s="41" t="str">
        <f t="shared" si="2"/>
        <v/>
      </c>
      <c r="G24" s="41" t="str">
        <f>IF(A24="","",SUMIFS(CHUYEN_THANG!$D$4:$D$403,CHUYEN_THANG!$A$4:$A$403,$B$4,CHUYEN_THANG!$B$4:$B$403,A24))</f>
        <v/>
      </c>
      <c r="H24" s="41" t="str">
        <f t="shared" si="3"/>
        <v/>
      </c>
      <c r="I24" s="11"/>
      <c r="J24" s="41" t="str">
        <f t="shared" si="4"/>
        <v/>
      </c>
      <c r="K24" s="41" t="str">
        <f t="shared" si="5"/>
        <v/>
      </c>
      <c r="L24" s="48"/>
      <c r="M24" s="9"/>
      <c r="N24" s="49"/>
      <c r="O24" s="49"/>
    </row>
    <row r="25" ht="15.75" customHeight="1">
      <c r="A25" s="45" t="str">
        <f>IFERROR(LOP_11!$A$32,"")</f>
        <v/>
      </c>
      <c r="B25" s="45" t="str">
        <f>IFERROR(LOP_11!$B$32,"")</f>
        <v/>
      </c>
      <c r="C25" s="46" t="str">
        <f>IFERROR(LOP_11!$AH$32,"")</f>
        <v/>
      </c>
      <c r="D25" s="46" t="str">
        <f>IFERROR(LOP_11!$AI$32,"")</f>
        <v/>
      </c>
      <c r="E25" s="41" t="str">
        <f t="shared" si="1"/>
        <v/>
      </c>
      <c r="F25" s="41" t="str">
        <f t="shared" si="2"/>
        <v/>
      </c>
      <c r="G25" s="41" t="str">
        <f>IF(A25="","",SUMIFS(CHUYEN_THANG!$D$4:$D$403,CHUYEN_THANG!$A$4:$A$403,$B$4,CHUYEN_THANG!$B$4:$B$403,A25))</f>
        <v/>
      </c>
      <c r="H25" s="41" t="str">
        <f t="shared" si="3"/>
        <v/>
      </c>
      <c r="I25" s="11"/>
      <c r="J25" s="41" t="str">
        <f t="shared" si="4"/>
        <v/>
      </c>
      <c r="K25" s="41" t="str">
        <f t="shared" si="5"/>
        <v/>
      </c>
      <c r="L25" s="48"/>
      <c r="M25" s="9"/>
      <c r="N25" s="49"/>
      <c r="O25" s="49"/>
    </row>
    <row r="26" ht="15.75" customHeight="1">
      <c r="A26" s="45" t="str">
        <f>IFERROR(LOP_11!$A$33,"")</f>
        <v/>
      </c>
      <c r="B26" s="45" t="str">
        <f>IFERROR(LOP_11!$B$33,"")</f>
        <v/>
      </c>
      <c r="C26" s="46" t="str">
        <f>IFERROR(LOP_11!$AH$33,"")</f>
        <v/>
      </c>
      <c r="D26" s="46" t="str">
        <f>IFERROR(LOP_11!$AI$33,"")</f>
        <v/>
      </c>
      <c r="E26" s="41" t="str">
        <f t="shared" si="1"/>
        <v/>
      </c>
      <c r="F26" s="41" t="str">
        <f t="shared" si="2"/>
        <v/>
      </c>
      <c r="G26" s="41" t="str">
        <f>IF(A26="","",SUMIFS(CHUYEN_THANG!$D$4:$D$403,CHUYEN_THANG!$A$4:$A$403,$B$4,CHUYEN_THANG!$B$4:$B$403,A26))</f>
        <v/>
      </c>
      <c r="H26" s="41" t="str">
        <f t="shared" si="3"/>
        <v/>
      </c>
      <c r="I26" s="11"/>
      <c r="J26" s="41" t="str">
        <f t="shared" si="4"/>
        <v/>
      </c>
      <c r="K26" s="41" t="str">
        <f t="shared" si="5"/>
        <v/>
      </c>
      <c r="L26" s="48"/>
      <c r="M26" s="9"/>
      <c r="N26" s="49"/>
      <c r="O26" s="49"/>
    </row>
    <row r="27" ht="15.75" customHeight="1">
      <c r="A27" s="45" t="str">
        <f>IFERROR(LOP_11!$A$34,"")</f>
        <v/>
      </c>
      <c r="B27" s="45" t="str">
        <f>IFERROR(LOP_11!$B$34,"")</f>
        <v/>
      </c>
      <c r="C27" s="46" t="str">
        <f>IFERROR(LOP_11!$AH$34,"")</f>
        <v/>
      </c>
      <c r="D27" s="46" t="str">
        <f>IFERROR(LOP_11!$AI$34,"")</f>
        <v/>
      </c>
      <c r="E27" s="41" t="str">
        <f t="shared" si="1"/>
        <v/>
      </c>
      <c r="F27" s="41" t="str">
        <f t="shared" si="2"/>
        <v/>
      </c>
      <c r="G27" s="41" t="str">
        <f>IF(A27="","",SUMIFS(CHUYEN_THANG!$D$4:$D$403,CHUYEN_THANG!$A$4:$A$403,$B$4,CHUYEN_THANG!$B$4:$B$403,A27))</f>
        <v/>
      </c>
      <c r="H27" s="41" t="str">
        <f t="shared" si="3"/>
        <v/>
      </c>
      <c r="I27" s="11"/>
      <c r="J27" s="41" t="str">
        <f t="shared" si="4"/>
        <v/>
      </c>
      <c r="K27" s="41" t="str">
        <f t="shared" si="5"/>
        <v/>
      </c>
      <c r="L27" s="48"/>
      <c r="M27" s="9"/>
      <c r="N27" s="49"/>
      <c r="O27" s="49"/>
    </row>
    <row r="28" ht="15.75" customHeight="1">
      <c r="A28" s="45" t="str">
        <f>IFERROR(LOP_11!$A$35,"")</f>
        <v/>
      </c>
      <c r="B28" s="45" t="str">
        <f>IFERROR(LOP_11!$B$35,"")</f>
        <v/>
      </c>
      <c r="C28" s="46" t="str">
        <f>IFERROR(LOP_11!$AH$35,"")</f>
        <v/>
      </c>
      <c r="D28" s="46" t="str">
        <f>IFERROR(LOP_11!$AI$35,"")</f>
        <v/>
      </c>
      <c r="E28" s="41" t="str">
        <f t="shared" si="1"/>
        <v/>
      </c>
      <c r="F28" s="41" t="str">
        <f t="shared" si="2"/>
        <v/>
      </c>
      <c r="G28" s="41" t="str">
        <f>IF(A28="","",SUMIFS(CHUYEN_THANG!$D$4:$D$403,CHUYEN_THANG!$A$4:$A$403,$B$4,CHUYEN_THANG!$B$4:$B$403,A28))</f>
        <v/>
      </c>
      <c r="H28" s="41" t="str">
        <f t="shared" si="3"/>
        <v/>
      </c>
      <c r="I28" s="11"/>
      <c r="J28" s="41" t="str">
        <f t="shared" si="4"/>
        <v/>
      </c>
      <c r="K28" s="41" t="str">
        <f t="shared" si="5"/>
        <v/>
      </c>
      <c r="L28" s="48"/>
      <c r="M28" s="9"/>
      <c r="N28" s="49"/>
      <c r="O28" s="49"/>
    </row>
    <row r="29" ht="15.75" customHeight="1">
      <c r="A29" s="45" t="str">
        <f>IFERROR(LOP_11!$A$36,"")</f>
        <v/>
      </c>
      <c r="B29" s="45" t="str">
        <f>IFERROR(LOP_11!$B$36,"")</f>
        <v/>
      </c>
      <c r="C29" s="46" t="str">
        <f>IFERROR(LOP_11!$AH$36,"")</f>
        <v/>
      </c>
      <c r="D29" s="46" t="str">
        <f>IFERROR(LOP_11!$AI$36,"")</f>
        <v/>
      </c>
      <c r="E29" s="41" t="str">
        <f t="shared" si="1"/>
        <v/>
      </c>
      <c r="F29" s="41" t="str">
        <f t="shared" si="2"/>
        <v/>
      </c>
      <c r="G29" s="41" t="str">
        <f>IF(A29="","",SUMIFS(CHUYEN_THANG!$D$4:$D$403,CHUYEN_THANG!$A$4:$A$403,$B$4,CHUYEN_THANG!$B$4:$B$403,A29))</f>
        <v/>
      </c>
      <c r="H29" s="41" t="str">
        <f t="shared" si="3"/>
        <v/>
      </c>
      <c r="I29" s="11"/>
      <c r="J29" s="41" t="str">
        <f t="shared" si="4"/>
        <v/>
      </c>
      <c r="K29" s="41" t="str">
        <f t="shared" si="5"/>
        <v/>
      </c>
      <c r="L29" s="48"/>
      <c r="M29" s="9"/>
      <c r="N29" s="49"/>
      <c r="O29" s="49"/>
    </row>
    <row r="30" ht="15.75" customHeight="1">
      <c r="A30" s="45" t="str">
        <f>IFERROR(LOP_11!$A$37,"")</f>
        <v/>
      </c>
      <c r="B30" s="45" t="str">
        <f>IFERROR(LOP_11!$B$37,"")</f>
        <v/>
      </c>
      <c r="C30" s="46" t="str">
        <f>IFERROR(LOP_11!$AH$37,"")</f>
        <v/>
      </c>
      <c r="D30" s="46" t="str">
        <f>IFERROR(LOP_11!$AI$37,"")</f>
        <v/>
      </c>
      <c r="E30" s="41" t="str">
        <f t="shared" si="1"/>
        <v/>
      </c>
      <c r="F30" s="41" t="str">
        <f t="shared" si="2"/>
        <v/>
      </c>
      <c r="G30" s="41" t="str">
        <f>IF(A30="","",SUMIFS(CHUYEN_THANG!$D$4:$D$403,CHUYEN_THANG!$A$4:$A$403,$B$4,CHUYEN_THANG!$B$4:$B$403,A30))</f>
        <v/>
      </c>
      <c r="H30" s="41" t="str">
        <f t="shared" si="3"/>
        <v/>
      </c>
      <c r="I30" s="11"/>
      <c r="J30" s="41" t="str">
        <f t="shared" si="4"/>
        <v/>
      </c>
      <c r="K30" s="41" t="str">
        <f t="shared" si="5"/>
        <v/>
      </c>
      <c r="L30" s="48"/>
      <c r="M30" s="9"/>
      <c r="N30" s="49"/>
      <c r="O30" s="49"/>
    </row>
    <row r="31" ht="15.75" customHeight="1">
      <c r="A31" s="45" t="str">
        <f>IFERROR(LOP_11!$A$38,"")</f>
        <v/>
      </c>
      <c r="B31" s="45" t="str">
        <f>IFERROR(LOP_11!$B$38,"")</f>
        <v/>
      </c>
      <c r="C31" s="46" t="str">
        <f>IFERROR(LOP_11!$AH$38,"")</f>
        <v/>
      </c>
      <c r="D31" s="46" t="str">
        <f>IFERROR(LOP_11!$AI$38,"")</f>
        <v/>
      </c>
      <c r="E31" s="41" t="str">
        <f t="shared" si="1"/>
        <v/>
      </c>
      <c r="F31" s="41" t="str">
        <f t="shared" si="2"/>
        <v/>
      </c>
      <c r="G31" s="41" t="str">
        <f>IF(A31="","",SUMIFS(CHUYEN_THANG!$D$4:$D$403,CHUYEN_THANG!$A$4:$A$403,$B$4,CHUYEN_THANG!$B$4:$B$403,A31))</f>
        <v/>
      </c>
      <c r="H31" s="41" t="str">
        <f t="shared" si="3"/>
        <v/>
      </c>
      <c r="I31" s="11"/>
      <c r="J31" s="41" t="str">
        <f t="shared" si="4"/>
        <v/>
      </c>
      <c r="K31" s="41" t="str">
        <f t="shared" si="5"/>
        <v/>
      </c>
      <c r="L31" s="48"/>
      <c r="M31" s="9"/>
      <c r="N31" s="49"/>
      <c r="O31" s="49"/>
    </row>
    <row r="32" ht="15.75" customHeight="1">
      <c r="A32" s="45" t="str">
        <f>IFERROR(LOP_11!$A$39,"")</f>
        <v/>
      </c>
      <c r="B32" s="45" t="str">
        <f>IFERROR(LOP_11!$B$39,"")</f>
        <v/>
      </c>
      <c r="C32" s="46" t="str">
        <f>IFERROR(LOP_11!$AH$39,"")</f>
        <v/>
      </c>
      <c r="D32" s="46" t="str">
        <f>IFERROR(LOP_11!$AI$39,"")</f>
        <v/>
      </c>
      <c r="E32" s="41" t="str">
        <f t="shared" si="1"/>
        <v/>
      </c>
      <c r="F32" s="41" t="str">
        <f t="shared" si="2"/>
        <v/>
      </c>
      <c r="G32" s="41" t="str">
        <f>IF(A32="","",SUMIFS(CHUYEN_THANG!$D$4:$D$403,CHUYEN_THANG!$A$4:$A$403,$B$4,CHUYEN_THANG!$B$4:$B$403,A32))</f>
        <v/>
      </c>
      <c r="H32" s="41" t="str">
        <f t="shared" si="3"/>
        <v/>
      </c>
      <c r="I32" s="11"/>
      <c r="J32" s="41" t="str">
        <f t="shared" si="4"/>
        <v/>
      </c>
      <c r="K32" s="41" t="str">
        <f t="shared" si="5"/>
        <v/>
      </c>
      <c r="L32" s="48"/>
      <c r="M32" s="9"/>
      <c r="N32" s="49"/>
      <c r="O32" s="49"/>
    </row>
    <row r="33" ht="15.75" customHeight="1">
      <c r="A33" s="45" t="str">
        <f>IFERROR(LOP_11!$A$40,"")</f>
        <v/>
      </c>
      <c r="B33" s="45" t="str">
        <f>IFERROR(LOP_11!$B$40,"")</f>
        <v/>
      </c>
      <c r="C33" s="46" t="str">
        <f>IFERROR(LOP_11!$AH$40,"")</f>
        <v/>
      </c>
      <c r="D33" s="46" t="str">
        <f>IFERROR(LOP_11!$AI$40,"")</f>
        <v/>
      </c>
      <c r="E33" s="41" t="str">
        <f t="shared" si="1"/>
        <v/>
      </c>
      <c r="F33" s="41" t="str">
        <f t="shared" si="2"/>
        <v/>
      </c>
      <c r="G33" s="41" t="str">
        <f>IF(A33="","",SUMIFS(CHUYEN_THANG!$D$4:$D$403,CHUYEN_THANG!$A$4:$A$403,$B$4,CHUYEN_THANG!$B$4:$B$403,A33))</f>
        <v/>
      </c>
      <c r="H33" s="41" t="str">
        <f t="shared" si="3"/>
        <v/>
      </c>
      <c r="I33" s="11"/>
      <c r="J33" s="41" t="str">
        <f t="shared" si="4"/>
        <v/>
      </c>
      <c r="K33" s="41" t="str">
        <f t="shared" si="5"/>
        <v/>
      </c>
      <c r="L33" s="48"/>
      <c r="M33" s="9"/>
      <c r="N33" s="49"/>
      <c r="O33" s="49"/>
    </row>
    <row r="34" ht="15.75" customHeight="1">
      <c r="A34" s="45" t="str">
        <f>IFERROR(LOP_11!$A$41,"")</f>
        <v/>
      </c>
      <c r="B34" s="45" t="str">
        <f>IFERROR(LOP_11!$B$41,"")</f>
        <v/>
      </c>
      <c r="C34" s="46" t="str">
        <f>IFERROR(LOP_11!$AH$41,"")</f>
        <v/>
      </c>
      <c r="D34" s="46" t="str">
        <f>IFERROR(LOP_11!$AI$41,"")</f>
        <v/>
      </c>
      <c r="E34" s="41" t="str">
        <f t="shared" si="1"/>
        <v/>
      </c>
      <c r="F34" s="41" t="str">
        <f t="shared" si="2"/>
        <v/>
      </c>
      <c r="G34" s="41" t="str">
        <f>IF(A34="","",SUMIFS(CHUYEN_THANG!$D$4:$D$403,CHUYEN_THANG!$A$4:$A$403,$B$4,CHUYEN_THANG!$B$4:$B$403,A34))</f>
        <v/>
      </c>
      <c r="H34" s="41" t="str">
        <f t="shared" si="3"/>
        <v/>
      </c>
      <c r="I34" s="11"/>
      <c r="J34" s="41" t="str">
        <f t="shared" si="4"/>
        <v/>
      </c>
      <c r="K34" s="41" t="str">
        <f t="shared" si="5"/>
        <v/>
      </c>
      <c r="L34" s="48"/>
      <c r="M34" s="9"/>
      <c r="N34" s="49"/>
      <c r="O34" s="49"/>
    </row>
    <row r="35" ht="15.75" customHeight="1">
      <c r="A35" s="45" t="str">
        <f>IFERROR(LOP_11!$A$42,"")</f>
        <v/>
      </c>
      <c r="B35" s="45" t="str">
        <f>IFERROR(LOP_11!$B$42,"")</f>
        <v/>
      </c>
      <c r="C35" s="46" t="str">
        <f>IFERROR(LOP_11!$AH$42,"")</f>
        <v/>
      </c>
      <c r="D35" s="46" t="str">
        <f>IFERROR(LOP_11!$AI$42,"")</f>
        <v/>
      </c>
      <c r="E35" s="41" t="str">
        <f t="shared" si="1"/>
        <v/>
      </c>
      <c r="F35" s="41" t="str">
        <f t="shared" si="2"/>
        <v/>
      </c>
      <c r="G35" s="41" t="str">
        <f>IF(A35="","",SUMIFS(CHUYEN_THANG!$D$4:$D$403,CHUYEN_THANG!$A$4:$A$403,$B$4,CHUYEN_THANG!$B$4:$B$403,A35))</f>
        <v/>
      </c>
      <c r="H35" s="41" t="str">
        <f t="shared" si="3"/>
        <v/>
      </c>
      <c r="I35" s="11"/>
      <c r="J35" s="41" t="str">
        <f t="shared" si="4"/>
        <v/>
      </c>
      <c r="K35" s="41" t="str">
        <f t="shared" si="5"/>
        <v/>
      </c>
      <c r="L35" s="48"/>
      <c r="M35" s="9"/>
      <c r="N35" s="49"/>
      <c r="O35" s="49"/>
    </row>
    <row r="36" ht="15.75" customHeight="1">
      <c r="A36" s="45" t="str">
        <f>IFERROR(LOP_11!$A$43,"")</f>
        <v/>
      </c>
      <c r="B36" s="45" t="str">
        <f>IFERROR(LOP_11!$B$43,"")</f>
        <v/>
      </c>
      <c r="C36" s="46" t="str">
        <f>IFERROR(LOP_11!$AH$43,"")</f>
        <v/>
      </c>
      <c r="D36" s="46" t="str">
        <f>IFERROR(LOP_11!$AI$43,"")</f>
        <v/>
      </c>
      <c r="E36" s="41" t="str">
        <f t="shared" si="1"/>
        <v/>
      </c>
      <c r="F36" s="41" t="str">
        <f t="shared" si="2"/>
        <v/>
      </c>
      <c r="G36" s="41" t="str">
        <f>IF(A36="","",SUMIFS(CHUYEN_THANG!$D$4:$D$403,CHUYEN_THANG!$A$4:$A$403,$B$4,CHUYEN_THANG!$B$4:$B$403,A36))</f>
        <v/>
      </c>
      <c r="H36" s="41" t="str">
        <f t="shared" si="3"/>
        <v/>
      </c>
      <c r="I36" s="11"/>
      <c r="J36" s="41" t="str">
        <f t="shared" si="4"/>
        <v/>
      </c>
      <c r="K36" s="41" t="str">
        <f t="shared" si="5"/>
        <v/>
      </c>
      <c r="L36" s="48"/>
      <c r="M36" s="9"/>
      <c r="N36" s="49"/>
      <c r="O36" s="49"/>
    </row>
    <row r="37" ht="15.75" customHeight="1">
      <c r="A37" s="45" t="str">
        <f>IFERROR(LOP_11!$A$44,"")</f>
        <v/>
      </c>
      <c r="B37" s="45" t="str">
        <f>IFERROR(LOP_11!$B$44,"")</f>
        <v/>
      </c>
      <c r="C37" s="46" t="str">
        <f>IFERROR(LOP_11!$AH$44,"")</f>
        <v/>
      </c>
      <c r="D37" s="46" t="str">
        <f>IFERROR(LOP_11!$AI$44,"")</f>
        <v/>
      </c>
      <c r="E37" s="41" t="str">
        <f t="shared" si="1"/>
        <v/>
      </c>
      <c r="F37" s="41" t="str">
        <f t="shared" si="2"/>
        <v/>
      </c>
      <c r="G37" s="41" t="str">
        <f>IF(A37="","",SUMIFS(CHUYEN_THANG!$D$4:$D$403,CHUYEN_THANG!$A$4:$A$403,$B$4,CHUYEN_THANG!$B$4:$B$403,A37))</f>
        <v/>
      </c>
      <c r="H37" s="41" t="str">
        <f t="shared" si="3"/>
        <v/>
      </c>
      <c r="I37" s="11"/>
      <c r="J37" s="41" t="str">
        <f t="shared" si="4"/>
        <v/>
      </c>
      <c r="K37" s="41" t="str">
        <f t="shared" si="5"/>
        <v/>
      </c>
      <c r="L37" s="48"/>
      <c r="M37" s="9"/>
      <c r="N37" s="49"/>
      <c r="O37" s="49"/>
    </row>
    <row r="38" ht="15.75" customHeight="1">
      <c r="A38" s="45" t="str">
        <f>IFERROR(LOP_11!$A$45,"")</f>
        <v/>
      </c>
      <c r="B38" s="45" t="str">
        <f>IFERROR(LOP_11!$B$45,"")</f>
        <v/>
      </c>
      <c r="C38" s="46" t="str">
        <f>IFERROR(LOP_11!$AH$45,"")</f>
        <v/>
      </c>
      <c r="D38" s="46" t="str">
        <f>IFERROR(LOP_11!$AI$45,"")</f>
        <v/>
      </c>
      <c r="E38" s="41" t="str">
        <f t="shared" si="1"/>
        <v/>
      </c>
      <c r="F38" s="41" t="str">
        <f t="shared" si="2"/>
        <v/>
      </c>
      <c r="G38" s="41" t="str">
        <f>IF(A38="","",SUMIFS(CHUYEN_THANG!$D$4:$D$403,CHUYEN_THANG!$A$4:$A$403,$B$4,CHUYEN_THANG!$B$4:$B$403,A38))</f>
        <v/>
      </c>
      <c r="H38" s="41" t="str">
        <f t="shared" si="3"/>
        <v/>
      </c>
      <c r="I38" s="11"/>
      <c r="J38" s="41" t="str">
        <f t="shared" si="4"/>
        <v/>
      </c>
      <c r="K38" s="41" t="str">
        <f t="shared" si="5"/>
        <v/>
      </c>
      <c r="L38" s="48"/>
      <c r="M38" s="9"/>
      <c r="N38" s="49"/>
      <c r="O38" s="49"/>
    </row>
    <row r="39" ht="15.75" customHeight="1">
      <c r="A39" s="45" t="str">
        <f>IFERROR(LOP_11!$A$46,"")</f>
        <v/>
      </c>
      <c r="B39" s="45" t="str">
        <f>IFERROR(LOP_11!$B$46,"")</f>
        <v/>
      </c>
      <c r="C39" s="46" t="str">
        <f>IFERROR(LOP_11!$AH$46,"")</f>
        <v/>
      </c>
      <c r="D39" s="46" t="str">
        <f>IFERROR(LOP_11!$AI$46,"")</f>
        <v/>
      </c>
      <c r="E39" s="41" t="str">
        <f t="shared" si="1"/>
        <v/>
      </c>
      <c r="F39" s="41" t="str">
        <f t="shared" si="2"/>
        <v/>
      </c>
      <c r="G39" s="41" t="str">
        <f>IF(A39="","",SUMIFS(CHUYEN_THANG!$D$4:$D$403,CHUYEN_THANG!$A$4:$A$403,$B$4,CHUYEN_THANG!$B$4:$B$403,A39))</f>
        <v/>
      </c>
      <c r="H39" s="41" t="str">
        <f t="shared" si="3"/>
        <v/>
      </c>
      <c r="I39" s="11"/>
      <c r="J39" s="41" t="str">
        <f t="shared" si="4"/>
        <v/>
      </c>
      <c r="K39" s="41" t="str">
        <f t="shared" si="5"/>
        <v/>
      </c>
      <c r="L39" s="48"/>
      <c r="M39" s="9"/>
      <c r="N39" s="49"/>
      <c r="O39" s="49"/>
    </row>
    <row r="40" ht="15.75" customHeight="1">
      <c r="A40" s="45" t="str">
        <f>IFERROR(LOP_11!$A$47,"")</f>
        <v/>
      </c>
      <c r="B40" s="45" t="str">
        <f>IFERROR(LOP_11!$B$47,"")</f>
        <v/>
      </c>
      <c r="C40" s="46" t="str">
        <f>IFERROR(LOP_11!$AH$47,"")</f>
        <v/>
      </c>
      <c r="D40" s="46" t="str">
        <f>IFERROR(LOP_11!$AI$47,"")</f>
        <v/>
      </c>
      <c r="E40" s="41" t="str">
        <f t="shared" si="1"/>
        <v/>
      </c>
      <c r="F40" s="41" t="str">
        <f t="shared" si="2"/>
        <v/>
      </c>
      <c r="G40" s="41" t="str">
        <f>IF(A40="","",SUMIFS(CHUYEN_THANG!$D$4:$D$403,CHUYEN_THANG!$A$4:$A$403,$B$4,CHUYEN_THANG!$B$4:$B$403,A40))</f>
        <v/>
      </c>
      <c r="H40" s="41" t="str">
        <f t="shared" si="3"/>
        <v/>
      </c>
      <c r="I40" s="11"/>
      <c r="J40" s="41" t="str">
        <f t="shared" si="4"/>
        <v/>
      </c>
      <c r="K40" s="41" t="str">
        <f t="shared" si="5"/>
        <v/>
      </c>
      <c r="L40" s="48"/>
      <c r="M40" s="9"/>
      <c r="N40" s="49"/>
      <c r="O40" s="49"/>
    </row>
    <row r="41" ht="15.75" customHeight="1">
      <c r="A41" s="45" t="str">
        <f>IFERROR(LOP_11!$A$48,"")</f>
        <v/>
      </c>
      <c r="B41" s="45" t="str">
        <f>IFERROR(LOP_11!$B$48,"")</f>
        <v/>
      </c>
      <c r="C41" s="46" t="str">
        <f>IFERROR(LOP_11!$AH$48,"")</f>
        <v/>
      </c>
      <c r="D41" s="46" t="str">
        <f>IFERROR(LOP_11!$AI$48,"")</f>
        <v/>
      </c>
      <c r="E41" s="41" t="str">
        <f t="shared" si="1"/>
        <v/>
      </c>
      <c r="F41" s="41" t="str">
        <f t="shared" si="2"/>
        <v/>
      </c>
      <c r="G41" s="41" t="str">
        <f>IF(A41="","",SUMIFS(CHUYEN_THANG!$D$4:$D$403,CHUYEN_THANG!$A$4:$A$403,$B$4,CHUYEN_THANG!$B$4:$B$403,A41))</f>
        <v/>
      </c>
      <c r="H41" s="41" t="str">
        <f t="shared" si="3"/>
        <v/>
      </c>
      <c r="I41" s="11"/>
      <c r="J41" s="41" t="str">
        <f t="shared" si="4"/>
        <v/>
      </c>
      <c r="K41" s="41" t="str">
        <f t="shared" si="5"/>
        <v/>
      </c>
      <c r="L41" s="48"/>
      <c r="M41" s="9"/>
      <c r="N41" s="49"/>
      <c r="O41" s="49"/>
    </row>
    <row r="42" ht="15.75" customHeight="1">
      <c r="A42" s="45" t="str">
        <f>IFERROR(LOP_11!$A$49,"")</f>
        <v/>
      </c>
      <c r="B42" s="45" t="str">
        <f>IFERROR(LOP_11!$B$49,"")</f>
        <v/>
      </c>
      <c r="C42" s="46" t="str">
        <f>IFERROR(LOP_11!$AH$49,"")</f>
        <v/>
      </c>
      <c r="D42" s="46" t="str">
        <f>IFERROR(LOP_11!$AI$49,"")</f>
        <v/>
      </c>
      <c r="E42" s="41" t="str">
        <f t="shared" si="1"/>
        <v/>
      </c>
      <c r="F42" s="41" t="str">
        <f t="shared" si="2"/>
        <v/>
      </c>
      <c r="G42" s="41" t="str">
        <f>IF(A42="","",SUMIFS(CHUYEN_THANG!$D$4:$D$403,CHUYEN_THANG!$A$4:$A$403,$B$4,CHUYEN_THANG!$B$4:$B$403,A42))</f>
        <v/>
      </c>
      <c r="H42" s="41" t="str">
        <f t="shared" si="3"/>
        <v/>
      </c>
      <c r="I42" s="11"/>
      <c r="J42" s="41" t="str">
        <f t="shared" si="4"/>
        <v/>
      </c>
      <c r="K42" s="41" t="str">
        <f t="shared" si="5"/>
        <v/>
      </c>
      <c r="L42" s="48"/>
      <c r="M42" s="9"/>
      <c r="N42" s="49"/>
      <c r="O42" s="49"/>
    </row>
    <row r="43" ht="15.75" customHeight="1">
      <c r="A43" s="45" t="str">
        <f>IFERROR(LOP_11!$A$50,"")</f>
        <v/>
      </c>
      <c r="B43" s="45" t="str">
        <f>IFERROR(LOP_11!$B$50,"")</f>
        <v/>
      </c>
      <c r="C43" s="46" t="str">
        <f>IFERROR(LOP_11!$AH$50,"")</f>
        <v/>
      </c>
      <c r="D43" s="46" t="str">
        <f>IFERROR(LOP_11!$AI$50,"")</f>
        <v/>
      </c>
      <c r="E43" s="41" t="str">
        <f t="shared" si="1"/>
        <v/>
      </c>
      <c r="F43" s="41" t="str">
        <f t="shared" si="2"/>
        <v/>
      </c>
      <c r="G43" s="41" t="str">
        <f>IF(A43="","",SUMIFS(CHUYEN_THANG!$D$4:$D$403,CHUYEN_THANG!$A$4:$A$403,$B$4,CHUYEN_THANG!$B$4:$B$403,A43))</f>
        <v/>
      </c>
      <c r="H43" s="41" t="str">
        <f t="shared" si="3"/>
        <v/>
      </c>
      <c r="I43" s="11"/>
      <c r="J43" s="41" t="str">
        <f t="shared" si="4"/>
        <v/>
      </c>
      <c r="K43" s="41" t="str">
        <f t="shared" si="5"/>
        <v/>
      </c>
      <c r="L43" s="48"/>
      <c r="M43" s="9"/>
      <c r="N43" s="49"/>
      <c r="O43" s="49"/>
    </row>
    <row r="44" ht="15.75" customHeight="1">
      <c r="A44" s="50"/>
      <c r="B44" s="50"/>
      <c r="C44" s="51"/>
      <c r="D44" s="51"/>
      <c r="E44" s="43"/>
      <c r="F44" s="43"/>
      <c r="G44" s="43"/>
      <c r="H44" s="43"/>
      <c r="I44" s="49"/>
      <c r="J44" s="43"/>
      <c r="K44" s="43"/>
      <c r="L44" s="52"/>
      <c r="M44" s="53"/>
      <c r="N44" s="49"/>
      <c r="O44" s="49"/>
    </row>
    <row r="45" ht="15.75" customHeight="1">
      <c r="A45" s="50"/>
      <c r="B45" s="50"/>
      <c r="C45" s="51"/>
      <c r="D45" s="51"/>
      <c r="E45" s="43"/>
      <c r="F45" s="43"/>
      <c r="G45" s="43"/>
      <c r="H45" s="43"/>
      <c r="I45" s="49"/>
      <c r="J45" s="43"/>
      <c r="K45" s="43"/>
      <c r="L45" s="52"/>
      <c r="M45" s="53"/>
      <c r="N45" s="49"/>
      <c r="O45" s="49"/>
    </row>
    <row r="46" ht="15.75" customHeight="1">
      <c r="A46" s="50"/>
      <c r="B46" s="50"/>
      <c r="C46" s="51"/>
      <c r="D46" s="51"/>
      <c r="E46" s="43"/>
      <c r="F46" s="43"/>
      <c r="G46" s="43"/>
      <c r="H46" s="43"/>
      <c r="I46" s="49"/>
      <c r="J46" s="43"/>
      <c r="K46" s="43"/>
      <c r="L46" s="52"/>
      <c r="M46" s="53"/>
      <c r="N46" s="49"/>
      <c r="O46" s="49"/>
    </row>
    <row r="47" ht="15.75" customHeight="1">
      <c r="A47" s="50"/>
      <c r="B47" s="50"/>
      <c r="C47" s="51"/>
      <c r="D47" s="51"/>
      <c r="E47" s="43"/>
      <c r="F47" s="43"/>
      <c r="G47" s="43"/>
      <c r="H47" s="43"/>
      <c r="I47" s="49"/>
      <c r="J47" s="43"/>
      <c r="K47" s="43"/>
      <c r="L47" s="52"/>
      <c r="M47" s="53"/>
      <c r="N47" s="49"/>
      <c r="O47" s="49"/>
    </row>
    <row r="48" ht="15.75" customHeight="1">
      <c r="A48" s="50"/>
      <c r="B48" s="50"/>
      <c r="C48" s="51"/>
      <c r="D48" s="51"/>
      <c r="E48" s="43"/>
      <c r="F48" s="43"/>
      <c r="G48" s="43"/>
      <c r="H48" s="43"/>
      <c r="I48" s="49"/>
      <c r="J48" s="43"/>
      <c r="K48" s="43"/>
      <c r="L48" s="52"/>
      <c r="M48" s="53"/>
      <c r="N48" s="49"/>
      <c r="O48" s="49"/>
    </row>
    <row r="49" ht="15.75" customHeight="1">
      <c r="A49" s="50"/>
      <c r="B49" s="50"/>
      <c r="C49" s="51"/>
      <c r="D49" s="51"/>
      <c r="E49" s="43"/>
      <c r="F49" s="43"/>
      <c r="G49" s="43"/>
      <c r="H49" s="43"/>
      <c r="I49" s="49"/>
      <c r="J49" s="43"/>
      <c r="K49" s="43"/>
      <c r="L49" s="52"/>
      <c r="M49" s="53"/>
      <c r="N49" s="49"/>
      <c r="O49" s="49"/>
    </row>
    <row r="50" ht="15.75" customHeight="1">
      <c r="A50" s="50"/>
      <c r="B50" s="50"/>
      <c r="C50" s="51"/>
      <c r="D50" s="51"/>
      <c r="E50" s="43"/>
      <c r="F50" s="43"/>
      <c r="G50" s="43"/>
      <c r="H50" s="43"/>
      <c r="I50" s="49"/>
      <c r="J50" s="43"/>
      <c r="K50" s="43"/>
      <c r="L50" s="52"/>
      <c r="M50" s="53"/>
      <c r="N50" s="49"/>
      <c r="O50" s="49"/>
    </row>
    <row r="51" ht="15.75" customHeight="1">
      <c r="A51" s="50"/>
      <c r="B51" s="50"/>
      <c r="C51" s="51"/>
      <c r="D51" s="51"/>
      <c r="E51" s="43"/>
      <c r="F51" s="43"/>
      <c r="G51" s="43"/>
      <c r="H51" s="43"/>
      <c r="I51" s="49"/>
      <c r="J51" s="43"/>
      <c r="K51" s="43"/>
      <c r="L51" s="52"/>
      <c r="M51" s="53"/>
      <c r="N51" s="49"/>
      <c r="O51" s="49"/>
    </row>
    <row r="52" ht="15.75" customHeight="1">
      <c r="A52" s="50"/>
      <c r="B52" s="50"/>
      <c r="C52" s="51"/>
      <c r="D52" s="51"/>
      <c r="E52" s="43"/>
      <c r="F52" s="43"/>
      <c r="G52" s="43"/>
      <c r="H52" s="43"/>
      <c r="I52" s="49"/>
      <c r="J52" s="43"/>
      <c r="K52" s="43"/>
      <c r="L52" s="52"/>
      <c r="M52" s="53"/>
      <c r="N52" s="49"/>
      <c r="O52" s="49"/>
    </row>
    <row r="53" ht="15.75" customHeight="1">
      <c r="A53" s="50"/>
      <c r="B53" s="50"/>
      <c r="C53" s="51"/>
      <c r="D53" s="51"/>
      <c r="E53" s="43"/>
      <c r="F53" s="43"/>
      <c r="G53" s="43"/>
      <c r="H53" s="43"/>
      <c r="I53" s="49"/>
      <c r="J53" s="43"/>
      <c r="K53" s="43"/>
      <c r="L53" s="52"/>
      <c r="M53" s="53"/>
      <c r="N53" s="49"/>
      <c r="O53" s="49"/>
    </row>
    <row r="54" ht="15.75" customHeight="1">
      <c r="A54" s="50"/>
      <c r="B54" s="50"/>
      <c r="C54" s="51"/>
      <c r="D54" s="51"/>
      <c r="E54" s="43"/>
      <c r="F54" s="43"/>
      <c r="G54" s="43"/>
      <c r="H54" s="43"/>
      <c r="I54" s="49"/>
      <c r="J54" s="43"/>
      <c r="K54" s="43"/>
      <c r="L54" s="52"/>
      <c r="M54" s="53"/>
      <c r="N54" s="49"/>
      <c r="O54" s="49"/>
    </row>
    <row r="55" ht="15.75" customHeight="1">
      <c r="A55" s="50"/>
      <c r="B55" s="50"/>
      <c r="C55" s="51"/>
      <c r="D55" s="51"/>
      <c r="E55" s="43"/>
      <c r="F55" s="43"/>
      <c r="G55" s="43"/>
      <c r="H55" s="43"/>
      <c r="I55" s="49"/>
      <c r="J55" s="43"/>
      <c r="K55" s="43"/>
      <c r="L55" s="52"/>
      <c r="M55" s="53"/>
      <c r="N55" s="49"/>
      <c r="O55" s="49"/>
    </row>
    <row r="56" ht="15.75" customHeight="1">
      <c r="A56" s="50"/>
      <c r="B56" s="50"/>
      <c r="C56" s="51"/>
      <c r="D56" s="51"/>
      <c r="E56" s="43"/>
      <c r="F56" s="43"/>
      <c r="G56" s="43"/>
      <c r="H56" s="43"/>
      <c r="I56" s="49"/>
      <c r="J56" s="43"/>
      <c r="K56" s="43"/>
      <c r="L56" s="52"/>
      <c r="M56" s="53"/>
      <c r="N56" s="49"/>
      <c r="O56" s="49"/>
    </row>
    <row r="57" ht="15.75" customHeight="1">
      <c r="A57" s="50"/>
      <c r="B57" s="50"/>
      <c r="C57" s="51"/>
      <c r="D57" s="51"/>
      <c r="E57" s="43"/>
      <c r="F57" s="43"/>
      <c r="G57" s="43"/>
      <c r="H57" s="43"/>
      <c r="I57" s="49"/>
      <c r="J57" s="43"/>
      <c r="K57" s="43"/>
      <c r="L57" s="52"/>
      <c r="M57" s="53"/>
      <c r="N57" s="49"/>
      <c r="O57" s="49"/>
    </row>
    <row r="58" ht="15.75" customHeight="1">
      <c r="A58" s="50"/>
      <c r="B58" s="50"/>
      <c r="C58" s="51"/>
      <c r="D58" s="51"/>
      <c r="E58" s="43"/>
      <c r="F58" s="43"/>
      <c r="G58" s="43"/>
      <c r="H58" s="43"/>
      <c r="I58" s="49"/>
      <c r="J58" s="43"/>
      <c r="K58" s="43"/>
      <c r="L58" s="52"/>
      <c r="M58" s="53"/>
      <c r="N58" s="49"/>
      <c r="O58" s="49"/>
    </row>
    <row r="59" ht="15.75" customHeight="1">
      <c r="A59" s="50"/>
      <c r="B59" s="50"/>
      <c r="C59" s="51"/>
      <c r="D59" s="51"/>
      <c r="E59" s="43"/>
      <c r="F59" s="43"/>
      <c r="G59" s="43"/>
      <c r="H59" s="43"/>
      <c r="I59" s="49"/>
      <c r="J59" s="43"/>
      <c r="K59" s="43"/>
      <c r="L59" s="52"/>
      <c r="M59" s="53"/>
      <c r="N59" s="49"/>
      <c r="O59" s="49"/>
    </row>
    <row r="60" ht="15.75" customHeight="1">
      <c r="A60" s="50"/>
      <c r="B60" s="50"/>
      <c r="C60" s="51"/>
      <c r="D60" s="51"/>
      <c r="E60" s="43"/>
      <c r="F60" s="43"/>
      <c r="G60" s="43"/>
      <c r="H60" s="43"/>
      <c r="I60" s="49"/>
      <c r="J60" s="43"/>
      <c r="K60" s="43"/>
      <c r="L60" s="52"/>
      <c r="M60" s="53"/>
      <c r="N60" s="49"/>
      <c r="O60" s="49"/>
    </row>
    <row r="61" ht="15.75" customHeight="1">
      <c r="A61" s="50"/>
      <c r="B61" s="50"/>
      <c r="C61" s="51"/>
      <c r="D61" s="51"/>
      <c r="E61" s="43"/>
      <c r="F61" s="43"/>
      <c r="G61" s="43"/>
      <c r="H61" s="43"/>
      <c r="I61" s="49"/>
      <c r="J61" s="43"/>
      <c r="K61" s="43"/>
      <c r="L61" s="52"/>
      <c r="M61" s="53"/>
      <c r="N61" s="49"/>
      <c r="O61" s="49"/>
    </row>
    <row r="62" ht="15.75" customHeight="1">
      <c r="A62" s="50"/>
      <c r="B62" s="50"/>
      <c r="C62" s="51"/>
      <c r="D62" s="51"/>
      <c r="E62" s="43"/>
      <c r="F62" s="43"/>
      <c r="G62" s="43"/>
      <c r="H62" s="43"/>
      <c r="I62" s="49"/>
      <c r="J62" s="43"/>
      <c r="K62" s="43"/>
      <c r="L62" s="52"/>
      <c r="M62" s="53"/>
      <c r="N62" s="49"/>
      <c r="O62" s="49"/>
    </row>
    <row r="63" ht="15.75" customHeight="1">
      <c r="A63" s="50"/>
      <c r="B63" s="50"/>
      <c r="C63" s="51"/>
      <c r="D63" s="51"/>
      <c r="E63" s="43"/>
      <c r="F63" s="43"/>
      <c r="G63" s="43"/>
      <c r="H63" s="43"/>
      <c r="I63" s="49"/>
      <c r="J63" s="43"/>
      <c r="K63" s="43"/>
      <c r="L63" s="52"/>
      <c r="M63" s="53"/>
      <c r="N63" s="49"/>
      <c r="O63" s="49"/>
    </row>
    <row r="64" ht="15.75" customHeight="1">
      <c r="A64" s="50"/>
      <c r="B64" s="50"/>
      <c r="C64" s="51"/>
      <c r="D64" s="51"/>
      <c r="E64" s="43"/>
      <c r="F64" s="43"/>
      <c r="G64" s="43"/>
      <c r="H64" s="43"/>
      <c r="I64" s="49"/>
      <c r="J64" s="43"/>
      <c r="K64" s="43"/>
      <c r="L64" s="52"/>
      <c r="M64" s="53"/>
      <c r="N64" s="49"/>
      <c r="O64" s="49"/>
    </row>
    <row r="65" ht="15.75" customHeight="1">
      <c r="A65" s="50"/>
      <c r="B65" s="50"/>
      <c r="C65" s="51"/>
      <c r="D65" s="51"/>
      <c r="E65" s="43"/>
      <c r="F65" s="43"/>
      <c r="G65" s="43"/>
      <c r="H65" s="43"/>
      <c r="I65" s="49"/>
      <c r="J65" s="43"/>
      <c r="K65" s="43"/>
      <c r="L65" s="52"/>
      <c r="M65" s="53"/>
      <c r="N65" s="49"/>
      <c r="O65" s="49"/>
    </row>
    <row r="66" ht="15.75" customHeight="1">
      <c r="A66" s="50"/>
      <c r="B66" s="50"/>
      <c r="C66" s="51"/>
      <c r="D66" s="51"/>
      <c r="E66" s="43"/>
      <c r="F66" s="43"/>
      <c r="G66" s="43"/>
      <c r="H66" s="43"/>
      <c r="I66" s="49"/>
      <c r="J66" s="43"/>
      <c r="K66" s="43"/>
      <c r="L66" s="52"/>
      <c r="M66" s="53"/>
      <c r="N66" s="49"/>
      <c r="O66" s="49"/>
    </row>
    <row r="67" ht="15.75" customHeight="1">
      <c r="A67" s="50"/>
      <c r="B67" s="50"/>
      <c r="C67" s="51"/>
      <c r="D67" s="51"/>
      <c r="E67" s="43"/>
      <c r="F67" s="43"/>
      <c r="G67" s="43"/>
      <c r="H67" s="43"/>
      <c r="I67" s="49"/>
      <c r="J67" s="43"/>
      <c r="K67" s="43"/>
      <c r="L67" s="52"/>
      <c r="M67" s="53"/>
      <c r="N67" s="49"/>
      <c r="O67" s="49"/>
    </row>
    <row r="68" ht="15.75" customHeight="1">
      <c r="A68" s="50"/>
      <c r="B68" s="50"/>
      <c r="C68" s="51"/>
      <c r="D68" s="51"/>
      <c r="E68" s="43"/>
      <c r="F68" s="43"/>
      <c r="G68" s="43"/>
      <c r="H68" s="43"/>
      <c r="I68" s="49"/>
      <c r="J68" s="43"/>
      <c r="K68" s="43"/>
      <c r="L68" s="52"/>
      <c r="M68" s="53"/>
      <c r="N68" s="49"/>
      <c r="O68" s="49"/>
    </row>
    <row r="69" ht="15.75" customHeight="1">
      <c r="A69" s="50"/>
      <c r="B69" s="50"/>
      <c r="C69" s="51"/>
      <c r="D69" s="51"/>
      <c r="E69" s="43"/>
      <c r="F69" s="43"/>
      <c r="G69" s="43"/>
      <c r="H69" s="43"/>
      <c r="I69" s="49"/>
      <c r="J69" s="43"/>
      <c r="K69" s="43"/>
      <c r="L69" s="52"/>
      <c r="M69" s="53"/>
      <c r="N69" s="49"/>
      <c r="O69" s="49"/>
    </row>
    <row r="70" ht="15.75" customHeight="1">
      <c r="A70" s="50"/>
      <c r="B70" s="50"/>
      <c r="C70" s="51"/>
      <c r="D70" s="51"/>
      <c r="E70" s="43"/>
      <c r="F70" s="43"/>
      <c r="G70" s="43"/>
      <c r="H70" s="43"/>
      <c r="I70" s="49"/>
      <c r="J70" s="43"/>
      <c r="K70" s="43"/>
      <c r="L70" s="52"/>
      <c r="M70" s="53"/>
      <c r="N70" s="49"/>
      <c r="O70" s="49"/>
    </row>
    <row r="71" ht="15.75" customHeight="1">
      <c r="A71" s="50"/>
      <c r="B71" s="50"/>
      <c r="C71" s="51"/>
      <c r="D71" s="51"/>
      <c r="E71" s="43"/>
      <c r="F71" s="43"/>
      <c r="G71" s="43"/>
      <c r="H71" s="43"/>
      <c r="I71" s="49"/>
      <c r="J71" s="43"/>
      <c r="K71" s="43"/>
      <c r="L71" s="52"/>
      <c r="M71" s="53"/>
      <c r="N71" s="49"/>
      <c r="O71" s="49"/>
    </row>
    <row r="72" ht="15.75" customHeight="1">
      <c r="A72" s="50"/>
      <c r="B72" s="50"/>
      <c r="C72" s="51"/>
      <c r="D72" s="51"/>
      <c r="E72" s="43"/>
      <c r="F72" s="43"/>
      <c r="G72" s="43"/>
      <c r="H72" s="43"/>
      <c r="I72" s="49"/>
      <c r="J72" s="43"/>
      <c r="K72" s="43"/>
      <c r="L72" s="52"/>
      <c r="M72" s="53"/>
      <c r="N72" s="49"/>
      <c r="O72" s="49"/>
    </row>
    <row r="73" ht="15.75" customHeight="1">
      <c r="A73" s="50"/>
      <c r="B73" s="50"/>
      <c r="C73" s="51"/>
      <c r="D73" s="51"/>
      <c r="E73" s="43"/>
      <c r="F73" s="43"/>
      <c r="G73" s="43"/>
      <c r="H73" s="43"/>
      <c r="I73" s="49"/>
      <c r="J73" s="43"/>
      <c r="K73" s="43"/>
      <c r="L73" s="52"/>
      <c r="M73" s="53"/>
      <c r="N73" s="49"/>
      <c r="O73" s="49"/>
    </row>
    <row r="74" ht="15.75" customHeight="1">
      <c r="A74" s="50"/>
      <c r="B74" s="50"/>
      <c r="C74" s="51"/>
      <c r="D74" s="51"/>
      <c r="E74" s="43"/>
      <c r="F74" s="43"/>
      <c r="G74" s="43"/>
      <c r="H74" s="43"/>
      <c r="I74" s="49"/>
      <c r="J74" s="43"/>
      <c r="K74" s="43"/>
      <c r="L74" s="52"/>
      <c r="M74" s="53"/>
      <c r="N74" s="49"/>
      <c r="O74" s="49"/>
    </row>
    <row r="75" ht="15.75" customHeight="1">
      <c r="A75" s="50"/>
      <c r="B75" s="50"/>
      <c r="C75" s="51"/>
      <c r="D75" s="51"/>
      <c r="E75" s="43"/>
      <c r="F75" s="43"/>
      <c r="G75" s="43"/>
      <c r="H75" s="43"/>
      <c r="I75" s="49"/>
      <c r="J75" s="43"/>
      <c r="K75" s="43"/>
      <c r="L75" s="52"/>
      <c r="M75" s="53"/>
      <c r="N75" s="49"/>
      <c r="O75" s="49"/>
    </row>
    <row r="76" ht="15.75" customHeight="1">
      <c r="A76" s="50"/>
      <c r="B76" s="50"/>
      <c r="C76" s="51"/>
      <c r="D76" s="51"/>
      <c r="E76" s="43"/>
      <c r="F76" s="43"/>
      <c r="G76" s="43"/>
      <c r="H76" s="43"/>
      <c r="I76" s="49"/>
      <c r="J76" s="43"/>
      <c r="K76" s="43"/>
      <c r="L76" s="52"/>
      <c r="M76" s="53"/>
      <c r="N76" s="49"/>
      <c r="O76" s="49"/>
    </row>
    <row r="77" ht="15.75" customHeight="1">
      <c r="A77" s="50"/>
      <c r="B77" s="50"/>
      <c r="C77" s="51"/>
      <c r="D77" s="51"/>
      <c r="E77" s="43"/>
      <c r="F77" s="43"/>
      <c r="G77" s="43"/>
      <c r="H77" s="43"/>
      <c r="I77" s="49"/>
      <c r="J77" s="43"/>
      <c r="K77" s="43"/>
      <c r="L77" s="52"/>
      <c r="M77" s="53"/>
      <c r="N77" s="49"/>
      <c r="O77" s="49"/>
    </row>
    <row r="78" ht="15.75" customHeight="1">
      <c r="A78" s="50"/>
      <c r="B78" s="50"/>
      <c r="C78" s="51"/>
      <c r="D78" s="51"/>
      <c r="E78" s="43"/>
      <c r="F78" s="43"/>
      <c r="G78" s="43"/>
      <c r="H78" s="43"/>
      <c r="I78" s="49"/>
      <c r="J78" s="43"/>
      <c r="K78" s="43"/>
      <c r="L78" s="52"/>
      <c r="M78" s="53"/>
      <c r="N78" s="49"/>
      <c r="O78" s="49"/>
    </row>
    <row r="79" ht="15.75" customHeight="1">
      <c r="A79" s="50"/>
      <c r="B79" s="50"/>
      <c r="C79" s="51"/>
      <c r="D79" s="51"/>
      <c r="E79" s="43"/>
      <c r="F79" s="43"/>
      <c r="G79" s="43"/>
      <c r="H79" s="43"/>
      <c r="I79" s="49"/>
      <c r="J79" s="43"/>
      <c r="K79" s="43"/>
      <c r="L79" s="52"/>
      <c r="M79" s="53"/>
      <c r="N79" s="49"/>
      <c r="O79" s="49"/>
    </row>
    <row r="80" ht="15.75" customHeight="1">
      <c r="A80" s="50"/>
      <c r="B80" s="50"/>
      <c r="C80" s="51"/>
      <c r="D80" s="51"/>
      <c r="E80" s="43"/>
      <c r="F80" s="43"/>
      <c r="G80" s="43"/>
      <c r="H80" s="43"/>
      <c r="I80" s="49"/>
      <c r="J80" s="43"/>
      <c r="K80" s="43"/>
      <c r="L80" s="52"/>
      <c r="M80" s="53"/>
      <c r="N80" s="49"/>
      <c r="O80" s="49"/>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M1"/>
  </mergeCells>
  <conditionalFormatting sqref="J14:J43">
    <cfRule type="cellIs" dxfId="3" priority="1" operator="greaterThan">
      <formula>0</formula>
    </cfRule>
  </conditionalFormatting>
  <conditionalFormatting sqref="J14:J80">
    <cfRule type="expression" dxfId="1" priority="2">
      <formula>J14&gt;0</formula>
    </cfRule>
  </conditionalFormatting>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25.0"/>
    <col customWidth="1" min="3" max="4" width="9.0"/>
    <col customWidth="1" min="5" max="7" width="16.0"/>
    <col customWidth="1" min="8" max="10" width="13.0"/>
    <col customWidth="1" min="11" max="11" width="16.0"/>
    <col customWidth="1" min="12" max="12" width="13.0"/>
    <col customWidth="1" min="13" max="13" width="32.0"/>
    <col customWidth="1" min="14" max="15" width="16.0"/>
  </cols>
  <sheetData>
    <row r="1" ht="30.0" customHeight="1">
      <c r="A1" s="1" t="s">
        <v>131</v>
      </c>
      <c r="N1" s="2"/>
      <c r="O1" s="2"/>
    </row>
    <row r="2">
      <c r="A2" s="3"/>
      <c r="B2" s="3"/>
      <c r="C2" s="3"/>
      <c r="D2" s="3"/>
      <c r="E2" s="3"/>
      <c r="F2" s="3"/>
      <c r="G2" s="3"/>
      <c r="H2" s="3"/>
      <c r="I2" s="3"/>
      <c r="J2" s="3"/>
      <c r="K2" s="3"/>
      <c r="L2" s="3"/>
      <c r="M2" s="3"/>
      <c r="N2" s="3"/>
      <c r="O2" s="3"/>
    </row>
    <row r="3">
      <c r="A3" s="4" t="s">
        <v>95</v>
      </c>
      <c r="B3" s="4" t="s">
        <v>6</v>
      </c>
      <c r="C3" s="3"/>
      <c r="D3" s="4" t="s">
        <v>96</v>
      </c>
      <c r="E3" s="4" t="s">
        <v>6</v>
      </c>
      <c r="F3" s="3"/>
      <c r="G3" s="3"/>
      <c r="H3" s="3"/>
      <c r="I3" s="3"/>
      <c r="J3" s="3"/>
      <c r="K3" s="3"/>
      <c r="L3" s="3"/>
      <c r="M3" s="3"/>
      <c r="N3" s="3"/>
      <c r="O3" s="3"/>
    </row>
    <row r="4">
      <c r="A4" s="38" t="s">
        <v>10</v>
      </c>
      <c r="B4" s="39" t="str">
        <f>IF(DANH_MUC_LOP!B15="","",DANH_MUC_LOP!B15)</f>
        <v/>
      </c>
      <c r="C4" s="3"/>
      <c r="D4" s="40" t="s">
        <v>97</v>
      </c>
      <c r="E4" s="41">
        <f>SUM(J14:J43)</f>
        <v>0</v>
      </c>
      <c r="F4" s="3"/>
      <c r="G4" s="3"/>
      <c r="H4" s="3"/>
      <c r="I4" s="3"/>
      <c r="J4" s="3"/>
      <c r="K4" s="3"/>
      <c r="L4" s="3"/>
      <c r="M4" s="3"/>
      <c r="N4" s="3"/>
      <c r="O4" s="3"/>
    </row>
    <row r="5">
      <c r="A5" s="38" t="s">
        <v>19</v>
      </c>
      <c r="B5" s="39" t="str">
        <f>IF(DANH_MUC_LOP!C15="","",DANH_MUC_LOP!C15)</f>
        <v/>
      </c>
      <c r="C5" s="3"/>
      <c r="D5" s="40" t="s">
        <v>65</v>
      </c>
      <c r="E5" s="41">
        <f>SUM(K14:K43)</f>
        <v>0</v>
      </c>
      <c r="F5" s="3"/>
      <c r="G5" s="3"/>
      <c r="H5" s="3"/>
      <c r="I5" s="3"/>
      <c r="J5" s="3"/>
      <c r="K5" s="3"/>
      <c r="L5" s="3"/>
      <c r="M5" s="3"/>
      <c r="N5" s="3"/>
      <c r="O5" s="3"/>
    </row>
    <row r="6">
      <c r="A6" s="38" t="s">
        <v>98</v>
      </c>
      <c r="B6" s="39" t="str">
        <f>IFERROR(IF(DANH_MUC_LOP!R15&gt;0,DANH_MUC_LOP!R15,LOP_12!$B$16),0)</f>
        <v/>
      </c>
      <c r="C6" s="3"/>
      <c r="D6" s="40" t="s">
        <v>99</v>
      </c>
      <c r="E6" s="41">
        <f>IF(B4="",0,SUMIF(THUONG_HOC_SINH!$A$4:$A$83,B4,THUONG_HOC_SINH!$D$4:$D$83))</f>
        <v>0</v>
      </c>
      <c r="F6" s="3"/>
      <c r="G6" s="3"/>
      <c r="H6" s="3"/>
      <c r="I6" s="3"/>
      <c r="J6" s="3"/>
      <c r="K6" s="3"/>
      <c r="L6" s="3"/>
      <c r="M6" s="3"/>
      <c r="N6" s="3"/>
      <c r="O6" s="3"/>
    </row>
    <row r="7">
      <c r="A7" s="38" t="s">
        <v>23</v>
      </c>
      <c r="B7" s="41" t="str">
        <f>IF(DANH_MUC_LOP!B15="","",DANH_MUC_LOP!F15)</f>
        <v/>
      </c>
      <c r="C7" s="3"/>
      <c r="D7" s="42"/>
      <c r="E7" s="43"/>
      <c r="F7" s="3"/>
      <c r="G7" s="3"/>
      <c r="H7" s="3"/>
      <c r="I7" s="3"/>
      <c r="J7" s="3"/>
      <c r="K7" s="3"/>
      <c r="L7" s="3"/>
      <c r="M7" s="3"/>
      <c r="N7" s="3"/>
      <c r="O7" s="3"/>
    </row>
    <row r="8">
      <c r="A8" s="38" t="s">
        <v>31</v>
      </c>
      <c r="B8" s="39" t="str">
        <f>IF(DANH_MUC_LOP!B15="","",DANH_MUC_LOP!N15)</f>
        <v/>
      </c>
      <c r="C8" s="3"/>
      <c r="D8" s="42"/>
      <c r="E8" s="43"/>
      <c r="F8" s="3"/>
      <c r="G8" s="3"/>
      <c r="H8" s="3"/>
      <c r="I8" s="3"/>
      <c r="J8" s="3"/>
      <c r="K8" s="3"/>
      <c r="L8" s="3"/>
      <c r="M8" s="3"/>
      <c r="N8" s="3"/>
      <c r="O8" s="3"/>
    </row>
    <row r="9">
      <c r="A9" s="38" t="s">
        <v>100</v>
      </c>
      <c r="B9" s="39">
        <f>COUNTIF(A14:A43,"?*")</f>
        <v>0</v>
      </c>
      <c r="C9" s="3"/>
      <c r="D9" s="42"/>
      <c r="E9" s="43"/>
      <c r="F9" s="3"/>
      <c r="G9" s="3"/>
      <c r="H9" s="3"/>
      <c r="I9" s="3"/>
      <c r="J9" s="3"/>
      <c r="K9" s="3"/>
      <c r="L9" s="3"/>
      <c r="M9" s="3"/>
      <c r="N9" s="3"/>
      <c r="O9" s="3"/>
    </row>
    <row r="10">
      <c r="A10" s="38" t="s">
        <v>101</v>
      </c>
      <c r="B10" s="41">
        <f>SUM(H14:H43)</f>
        <v>0</v>
      </c>
      <c r="C10" s="3"/>
      <c r="D10" s="42"/>
      <c r="E10" s="43"/>
      <c r="F10" s="3"/>
      <c r="G10" s="3"/>
      <c r="H10" s="3"/>
      <c r="I10" s="3"/>
      <c r="J10" s="3"/>
      <c r="K10" s="3"/>
      <c r="L10" s="3"/>
      <c r="M10" s="3"/>
      <c r="N10" s="3"/>
      <c r="O10" s="3"/>
    </row>
    <row r="11">
      <c r="A11" s="38" t="s">
        <v>102</v>
      </c>
      <c r="B11" s="41">
        <f>SUM(I14:I43)</f>
        <v>0</v>
      </c>
      <c r="C11" s="3"/>
      <c r="D11" s="42"/>
      <c r="E11" s="43"/>
      <c r="F11" s="3"/>
      <c r="G11" s="3"/>
      <c r="H11" s="3"/>
      <c r="I11" s="3"/>
      <c r="J11" s="3"/>
      <c r="K11" s="3"/>
      <c r="L11" s="3"/>
      <c r="M11" s="3"/>
      <c r="N11" s="3"/>
      <c r="O11" s="3"/>
    </row>
    <row r="12">
      <c r="A12" s="3"/>
      <c r="B12" s="3"/>
      <c r="C12" s="3"/>
      <c r="D12" s="3"/>
      <c r="E12" s="3"/>
      <c r="F12" s="3"/>
      <c r="G12" s="3"/>
      <c r="H12" s="3"/>
      <c r="I12" s="3"/>
      <c r="J12" s="3"/>
      <c r="K12" s="3"/>
      <c r="L12" s="3"/>
      <c r="M12" s="3"/>
      <c r="N12" s="3"/>
      <c r="O12" s="3"/>
    </row>
    <row r="13" ht="27.75" customHeight="1">
      <c r="A13" s="5" t="s">
        <v>14</v>
      </c>
      <c r="B13" s="5" t="s">
        <v>16</v>
      </c>
      <c r="C13" s="5" t="s">
        <v>104</v>
      </c>
      <c r="D13" s="5" t="s">
        <v>105</v>
      </c>
      <c r="E13" s="5" t="s">
        <v>106</v>
      </c>
      <c r="F13" s="5" t="s">
        <v>107</v>
      </c>
      <c r="G13" s="5" t="s">
        <v>64</v>
      </c>
      <c r="H13" s="5" t="s">
        <v>108</v>
      </c>
      <c r="I13" s="5" t="s">
        <v>102</v>
      </c>
      <c r="J13" s="5" t="s">
        <v>97</v>
      </c>
      <c r="K13" s="5" t="s">
        <v>65</v>
      </c>
      <c r="L13" s="5" t="s">
        <v>109</v>
      </c>
      <c r="M13" s="5" t="s">
        <v>15</v>
      </c>
      <c r="N13" s="5" t="s">
        <v>110</v>
      </c>
      <c r="O13" s="5" t="s">
        <v>111</v>
      </c>
    </row>
    <row r="14">
      <c r="A14" s="45" t="str">
        <f>IFERROR(LOP_12!$A$21,"")</f>
        <v/>
      </c>
      <c r="B14" s="45" t="str">
        <f>IFERROR(LOP_12!$B$21,"")</f>
        <v/>
      </c>
      <c r="C14" s="46" t="str">
        <f>IFERROR(LOP_12!$AH$21,"")</f>
        <v/>
      </c>
      <c r="D14" s="46" t="str">
        <f>IFERROR(LOP_12!$AI$21,"")</f>
        <v/>
      </c>
      <c r="E14" s="41" t="str">
        <f t="shared" ref="E14:E43" si="1">IF(A14="","",$B$7)</f>
        <v/>
      </c>
      <c r="F14" s="41" t="str">
        <f t="shared" ref="F14:F43" si="2">IF(A14="","",IF($B$8="Thu trước",$B$6*E14,C14*E14))</f>
        <v/>
      </c>
      <c r="G14" s="41" t="str">
        <f>IF(A14="","",SUMIFS(CHUYEN_THANG!$D$4:$D$403,CHUYEN_THANG!$A$4:$A$403,$B$4,CHUYEN_THANG!$B$4:$B$403,A14))</f>
        <v/>
      </c>
      <c r="H14" s="41" t="str">
        <f t="shared" ref="H14:H43" si="3">IF(A14="","",IF(O14&lt;&gt;"",MAX(0,O14),MAX(0,F14-G14+N14)))</f>
        <v/>
      </c>
      <c r="I14" s="11"/>
      <c r="J14" s="41" t="str">
        <f t="shared" ref="J14:J43" si="4">IF(A14="","",MAX(0,H14-I14))</f>
        <v/>
      </c>
      <c r="K14" s="41" t="str">
        <f t="shared" ref="K14:K43" si="5">IF(A14="","",IF($B$8="Thu trước",D14*E14,0))</f>
        <v/>
      </c>
      <c r="L14" s="48"/>
      <c r="M14" s="9"/>
      <c r="N14" s="49"/>
      <c r="O14" s="49"/>
    </row>
    <row r="15">
      <c r="A15" s="45" t="str">
        <f>IFERROR(LOP_12!$A$22,"")</f>
        <v/>
      </c>
      <c r="B15" s="45" t="str">
        <f>IFERROR(LOP_12!$B$22,"")</f>
        <v/>
      </c>
      <c r="C15" s="46" t="str">
        <f>IFERROR(LOP_12!$AH$22,"")</f>
        <v/>
      </c>
      <c r="D15" s="46" t="str">
        <f>IFERROR(LOP_12!$AI$22,"")</f>
        <v/>
      </c>
      <c r="E15" s="41" t="str">
        <f t="shared" si="1"/>
        <v/>
      </c>
      <c r="F15" s="41" t="str">
        <f t="shared" si="2"/>
        <v/>
      </c>
      <c r="G15" s="41" t="str">
        <f>IF(A15="","",SUMIFS(CHUYEN_THANG!$D$4:$D$403,CHUYEN_THANG!$A$4:$A$403,$B$4,CHUYEN_THANG!$B$4:$B$403,A15))</f>
        <v/>
      </c>
      <c r="H15" s="41" t="str">
        <f t="shared" si="3"/>
        <v/>
      </c>
      <c r="I15" s="11"/>
      <c r="J15" s="41" t="str">
        <f t="shared" si="4"/>
        <v/>
      </c>
      <c r="K15" s="41" t="str">
        <f t="shared" si="5"/>
        <v/>
      </c>
      <c r="L15" s="48"/>
      <c r="M15" s="9"/>
      <c r="N15" s="49"/>
      <c r="O15" s="49"/>
    </row>
    <row r="16">
      <c r="A16" s="45" t="str">
        <f>IFERROR(LOP_12!$A$23,"")</f>
        <v/>
      </c>
      <c r="B16" s="45" t="str">
        <f>IFERROR(LOP_12!$B$23,"")</f>
        <v/>
      </c>
      <c r="C16" s="46" t="str">
        <f>IFERROR(LOP_12!$AH$23,"")</f>
        <v/>
      </c>
      <c r="D16" s="46" t="str">
        <f>IFERROR(LOP_12!$AI$23,"")</f>
        <v/>
      </c>
      <c r="E16" s="41" t="str">
        <f t="shared" si="1"/>
        <v/>
      </c>
      <c r="F16" s="41" t="str">
        <f t="shared" si="2"/>
        <v/>
      </c>
      <c r="G16" s="41" t="str">
        <f>IF(A16="","",SUMIFS(CHUYEN_THANG!$D$4:$D$403,CHUYEN_THANG!$A$4:$A$403,$B$4,CHUYEN_THANG!$B$4:$B$403,A16))</f>
        <v/>
      </c>
      <c r="H16" s="41" t="str">
        <f t="shared" si="3"/>
        <v/>
      </c>
      <c r="I16" s="11"/>
      <c r="J16" s="41" t="str">
        <f t="shared" si="4"/>
        <v/>
      </c>
      <c r="K16" s="41" t="str">
        <f t="shared" si="5"/>
        <v/>
      </c>
      <c r="L16" s="48"/>
      <c r="M16" s="9"/>
      <c r="N16" s="49"/>
      <c r="O16" s="49"/>
    </row>
    <row r="17">
      <c r="A17" s="45" t="str">
        <f>IFERROR(LOP_12!$A$24,"")</f>
        <v/>
      </c>
      <c r="B17" s="45" t="str">
        <f>IFERROR(LOP_12!$B$24,"")</f>
        <v/>
      </c>
      <c r="C17" s="46" t="str">
        <f>IFERROR(LOP_12!$AH$24,"")</f>
        <v/>
      </c>
      <c r="D17" s="46" t="str">
        <f>IFERROR(LOP_12!$AI$24,"")</f>
        <v/>
      </c>
      <c r="E17" s="41" t="str">
        <f t="shared" si="1"/>
        <v/>
      </c>
      <c r="F17" s="41" t="str">
        <f t="shared" si="2"/>
        <v/>
      </c>
      <c r="G17" s="41" t="str">
        <f>IF(A17="","",SUMIFS(CHUYEN_THANG!$D$4:$D$403,CHUYEN_THANG!$A$4:$A$403,$B$4,CHUYEN_THANG!$B$4:$B$403,A17))</f>
        <v/>
      </c>
      <c r="H17" s="41" t="str">
        <f t="shared" si="3"/>
        <v/>
      </c>
      <c r="I17" s="11"/>
      <c r="J17" s="41" t="str">
        <f t="shared" si="4"/>
        <v/>
      </c>
      <c r="K17" s="41" t="str">
        <f t="shared" si="5"/>
        <v/>
      </c>
      <c r="L17" s="48"/>
      <c r="M17" s="9"/>
      <c r="N17" s="49"/>
      <c r="O17" s="49"/>
    </row>
    <row r="18">
      <c r="A18" s="45" t="str">
        <f>IFERROR(LOP_12!$A$25,"")</f>
        <v/>
      </c>
      <c r="B18" s="45" t="str">
        <f>IFERROR(LOP_12!$B$25,"")</f>
        <v/>
      </c>
      <c r="C18" s="46" t="str">
        <f>IFERROR(LOP_12!$AH$25,"")</f>
        <v/>
      </c>
      <c r="D18" s="46" t="str">
        <f>IFERROR(LOP_12!$AI$25,"")</f>
        <v/>
      </c>
      <c r="E18" s="41" t="str">
        <f t="shared" si="1"/>
        <v/>
      </c>
      <c r="F18" s="41" t="str">
        <f t="shared" si="2"/>
        <v/>
      </c>
      <c r="G18" s="41" t="str">
        <f>IF(A18="","",SUMIFS(CHUYEN_THANG!$D$4:$D$403,CHUYEN_THANG!$A$4:$A$403,$B$4,CHUYEN_THANG!$B$4:$B$403,A18))</f>
        <v/>
      </c>
      <c r="H18" s="41" t="str">
        <f t="shared" si="3"/>
        <v/>
      </c>
      <c r="I18" s="11"/>
      <c r="J18" s="41" t="str">
        <f t="shared" si="4"/>
        <v/>
      </c>
      <c r="K18" s="41" t="str">
        <f t="shared" si="5"/>
        <v/>
      </c>
      <c r="L18" s="48"/>
      <c r="M18" s="9"/>
      <c r="N18" s="49"/>
      <c r="O18" s="49"/>
    </row>
    <row r="19">
      <c r="A19" s="45" t="str">
        <f>IFERROR(LOP_12!$A$26,"")</f>
        <v/>
      </c>
      <c r="B19" s="45" t="str">
        <f>IFERROR(LOP_12!$B$26,"")</f>
        <v/>
      </c>
      <c r="C19" s="46" t="str">
        <f>IFERROR(LOP_12!$AH$26,"")</f>
        <v/>
      </c>
      <c r="D19" s="46" t="str">
        <f>IFERROR(LOP_12!$AI$26,"")</f>
        <v/>
      </c>
      <c r="E19" s="41" t="str">
        <f t="shared" si="1"/>
        <v/>
      </c>
      <c r="F19" s="41" t="str">
        <f t="shared" si="2"/>
        <v/>
      </c>
      <c r="G19" s="41" t="str">
        <f>IF(A19="","",SUMIFS(CHUYEN_THANG!$D$4:$D$403,CHUYEN_THANG!$A$4:$A$403,$B$4,CHUYEN_THANG!$B$4:$B$403,A19))</f>
        <v/>
      </c>
      <c r="H19" s="41" t="str">
        <f t="shared" si="3"/>
        <v/>
      </c>
      <c r="I19" s="11"/>
      <c r="J19" s="41" t="str">
        <f t="shared" si="4"/>
        <v/>
      </c>
      <c r="K19" s="41" t="str">
        <f t="shared" si="5"/>
        <v/>
      </c>
      <c r="L19" s="48"/>
      <c r="M19" s="9"/>
      <c r="N19" s="49"/>
      <c r="O19" s="49"/>
    </row>
    <row r="20">
      <c r="A20" s="45" t="str">
        <f>IFERROR(LOP_12!$A$27,"")</f>
        <v/>
      </c>
      <c r="B20" s="45" t="str">
        <f>IFERROR(LOP_12!$B$27,"")</f>
        <v/>
      </c>
      <c r="C20" s="46" t="str">
        <f>IFERROR(LOP_12!$AH$27,"")</f>
        <v/>
      </c>
      <c r="D20" s="46" t="str">
        <f>IFERROR(LOP_12!$AI$27,"")</f>
        <v/>
      </c>
      <c r="E20" s="41" t="str">
        <f t="shared" si="1"/>
        <v/>
      </c>
      <c r="F20" s="41" t="str">
        <f t="shared" si="2"/>
        <v/>
      </c>
      <c r="G20" s="41" t="str">
        <f>IF(A20="","",SUMIFS(CHUYEN_THANG!$D$4:$D$403,CHUYEN_THANG!$A$4:$A$403,$B$4,CHUYEN_THANG!$B$4:$B$403,A20))</f>
        <v/>
      </c>
      <c r="H20" s="41" t="str">
        <f t="shared" si="3"/>
        <v/>
      </c>
      <c r="I20" s="11"/>
      <c r="J20" s="41" t="str">
        <f t="shared" si="4"/>
        <v/>
      </c>
      <c r="K20" s="41" t="str">
        <f t="shared" si="5"/>
        <v/>
      </c>
      <c r="L20" s="48"/>
      <c r="M20" s="9"/>
      <c r="N20" s="49"/>
      <c r="O20" s="49"/>
    </row>
    <row r="21" ht="15.75" customHeight="1">
      <c r="A21" s="45" t="str">
        <f>IFERROR(LOP_12!$A$28,"")</f>
        <v/>
      </c>
      <c r="B21" s="45" t="str">
        <f>IFERROR(LOP_12!$B$28,"")</f>
        <v/>
      </c>
      <c r="C21" s="46" t="str">
        <f>IFERROR(LOP_12!$AH$28,"")</f>
        <v/>
      </c>
      <c r="D21" s="46" t="str">
        <f>IFERROR(LOP_12!$AI$28,"")</f>
        <v/>
      </c>
      <c r="E21" s="41" t="str">
        <f t="shared" si="1"/>
        <v/>
      </c>
      <c r="F21" s="41" t="str">
        <f t="shared" si="2"/>
        <v/>
      </c>
      <c r="G21" s="41" t="str">
        <f>IF(A21="","",SUMIFS(CHUYEN_THANG!$D$4:$D$403,CHUYEN_THANG!$A$4:$A$403,$B$4,CHUYEN_THANG!$B$4:$B$403,A21))</f>
        <v/>
      </c>
      <c r="H21" s="41" t="str">
        <f t="shared" si="3"/>
        <v/>
      </c>
      <c r="I21" s="11"/>
      <c r="J21" s="41" t="str">
        <f t="shared" si="4"/>
        <v/>
      </c>
      <c r="K21" s="41" t="str">
        <f t="shared" si="5"/>
        <v/>
      </c>
      <c r="L21" s="48"/>
      <c r="M21" s="9"/>
      <c r="N21" s="49"/>
      <c r="O21" s="49"/>
    </row>
    <row r="22" ht="15.75" customHeight="1">
      <c r="A22" s="45" t="str">
        <f>IFERROR(LOP_12!$A$29,"")</f>
        <v/>
      </c>
      <c r="B22" s="45" t="str">
        <f>IFERROR(LOP_12!$B$29,"")</f>
        <v/>
      </c>
      <c r="C22" s="46" t="str">
        <f>IFERROR(LOP_12!$AH$29,"")</f>
        <v/>
      </c>
      <c r="D22" s="46" t="str">
        <f>IFERROR(LOP_12!$AI$29,"")</f>
        <v/>
      </c>
      <c r="E22" s="41" t="str">
        <f t="shared" si="1"/>
        <v/>
      </c>
      <c r="F22" s="41" t="str">
        <f t="shared" si="2"/>
        <v/>
      </c>
      <c r="G22" s="41" t="str">
        <f>IF(A22="","",SUMIFS(CHUYEN_THANG!$D$4:$D$403,CHUYEN_THANG!$A$4:$A$403,$B$4,CHUYEN_THANG!$B$4:$B$403,A22))</f>
        <v/>
      </c>
      <c r="H22" s="41" t="str">
        <f t="shared" si="3"/>
        <v/>
      </c>
      <c r="I22" s="11"/>
      <c r="J22" s="41" t="str">
        <f t="shared" si="4"/>
        <v/>
      </c>
      <c r="K22" s="41" t="str">
        <f t="shared" si="5"/>
        <v/>
      </c>
      <c r="L22" s="48"/>
      <c r="M22" s="9"/>
      <c r="N22" s="49"/>
      <c r="O22" s="49"/>
    </row>
    <row r="23" ht="15.75" customHeight="1">
      <c r="A23" s="45" t="str">
        <f>IFERROR(LOP_12!$A$30,"")</f>
        <v/>
      </c>
      <c r="B23" s="45" t="str">
        <f>IFERROR(LOP_12!$B$30,"")</f>
        <v/>
      </c>
      <c r="C23" s="46" t="str">
        <f>IFERROR(LOP_12!$AH$30,"")</f>
        <v/>
      </c>
      <c r="D23" s="46" t="str">
        <f>IFERROR(LOP_12!$AI$30,"")</f>
        <v/>
      </c>
      <c r="E23" s="41" t="str">
        <f t="shared" si="1"/>
        <v/>
      </c>
      <c r="F23" s="41" t="str">
        <f t="shared" si="2"/>
        <v/>
      </c>
      <c r="G23" s="41" t="str">
        <f>IF(A23="","",SUMIFS(CHUYEN_THANG!$D$4:$D$403,CHUYEN_THANG!$A$4:$A$403,$B$4,CHUYEN_THANG!$B$4:$B$403,A23))</f>
        <v/>
      </c>
      <c r="H23" s="41" t="str">
        <f t="shared" si="3"/>
        <v/>
      </c>
      <c r="I23" s="11"/>
      <c r="J23" s="41" t="str">
        <f t="shared" si="4"/>
        <v/>
      </c>
      <c r="K23" s="41" t="str">
        <f t="shared" si="5"/>
        <v/>
      </c>
      <c r="L23" s="48"/>
      <c r="M23" s="9"/>
      <c r="N23" s="49"/>
      <c r="O23" s="49"/>
    </row>
    <row r="24" ht="15.75" customHeight="1">
      <c r="A24" s="45" t="str">
        <f>IFERROR(LOP_12!$A$31,"")</f>
        <v/>
      </c>
      <c r="B24" s="45" t="str">
        <f>IFERROR(LOP_12!$B$31,"")</f>
        <v/>
      </c>
      <c r="C24" s="46" t="str">
        <f>IFERROR(LOP_12!$AH$31,"")</f>
        <v/>
      </c>
      <c r="D24" s="46" t="str">
        <f>IFERROR(LOP_12!$AI$31,"")</f>
        <v/>
      </c>
      <c r="E24" s="41" t="str">
        <f t="shared" si="1"/>
        <v/>
      </c>
      <c r="F24" s="41" t="str">
        <f t="shared" si="2"/>
        <v/>
      </c>
      <c r="G24" s="41" t="str">
        <f>IF(A24="","",SUMIFS(CHUYEN_THANG!$D$4:$D$403,CHUYEN_THANG!$A$4:$A$403,$B$4,CHUYEN_THANG!$B$4:$B$403,A24))</f>
        <v/>
      </c>
      <c r="H24" s="41" t="str">
        <f t="shared" si="3"/>
        <v/>
      </c>
      <c r="I24" s="11"/>
      <c r="J24" s="41" t="str">
        <f t="shared" si="4"/>
        <v/>
      </c>
      <c r="K24" s="41" t="str">
        <f t="shared" si="5"/>
        <v/>
      </c>
      <c r="L24" s="48"/>
      <c r="M24" s="9"/>
      <c r="N24" s="49"/>
      <c r="O24" s="49"/>
    </row>
    <row r="25" ht="15.75" customHeight="1">
      <c r="A25" s="45" t="str">
        <f>IFERROR(LOP_12!$A$32,"")</f>
        <v/>
      </c>
      <c r="B25" s="45" t="str">
        <f>IFERROR(LOP_12!$B$32,"")</f>
        <v/>
      </c>
      <c r="C25" s="46" t="str">
        <f>IFERROR(LOP_12!$AH$32,"")</f>
        <v/>
      </c>
      <c r="D25" s="46" t="str">
        <f>IFERROR(LOP_12!$AI$32,"")</f>
        <v/>
      </c>
      <c r="E25" s="41" t="str">
        <f t="shared" si="1"/>
        <v/>
      </c>
      <c r="F25" s="41" t="str">
        <f t="shared" si="2"/>
        <v/>
      </c>
      <c r="G25" s="41" t="str">
        <f>IF(A25="","",SUMIFS(CHUYEN_THANG!$D$4:$D$403,CHUYEN_THANG!$A$4:$A$403,$B$4,CHUYEN_THANG!$B$4:$B$403,A25))</f>
        <v/>
      </c>
      <c r="H25" s="41" t="str">
        <f t="shared" si="3"/>
        <v/>
      </c>
      <c r="I25" s="11"/>
      <c r="J25" s="41" t="str">
        <f t="shared" si="4"/>
        <v/>
      </c>
      <c r="K25" s="41" t="str">
        <f t="shared" si="5"/>
        <v/>
      </c>
      <c r="L25" s="48"/>
      <c r="M25" s="9"/>
      <c r="N25" s="49"/>
      <c r="O25" s="49"/>
    </row>
    <row r="26" ht="15.75" customHeight="1">
      <c r="A26" s="45" t="str">
        <f>IFERROR(LOP_12!$A$33,"")</f>
        <v/>
      </c>
      <c r="B26" s="45" t="str">
        <f>IFERROR(LOP_12!$B$33,"")</f>
        <v/>
      </c>
      <c r="C26" s="46" t="str">
        <f>IFERROR(LOP_12!$AH$33,"")</f>
        <v/>
      </c>
      <c r="D26" s="46" t="str">
        <f>IFERROR(LOP_12!$AI$33,"")</f>
        <v/>
      </c>
      <c r="E26" s="41" t="str">
        <f t="shared" si="1"/>
        <v/>
      </c>
      <c r="F26" s="41" t="str">
        <f t="shared" si="2"/>
        <v/>
      </c>
      <c r="G26" s="41" t="str">
        <f>IF(A26="","",SUMIFS(CHUYEN_THANG!$D$4:$D$403,CHUYEN_THANG!$A$4:$A$403,$B$4,CHUYEN_THANG!$B$4:$B$403,A26))</f>
        <v/>
      </c>
      <c r="H26" s="41" t="str">
        <f t="shared" si="3"/>
        <v/>
      </c>
      <c r="I26" s="11"/>
      <c r="J26" s="41" t="str">
        <f t="shared" si="4"/>
        <v/>
      </c>
      <c r="K26" s="41" t="str">
        <f t="shared" si="5"/>
        <v/>
      </c>
      <c r="L26" s="48"/>
      <c r="M26" s="9"/>
      <c r="N26" s="49"/>
      <c r="O26" s="49"/>
    </row>
    <row r="27" ht="15.75" customHeight="1">
      <c r="A27" s="45" t="str">
        <f>IFERROR(LOP_12!$A$34,"")</f>
        <v/>
      </c>
      <c r="B27" s="45" t="str">
        <f>IFERROR(LOP_12!$B$34,"")</f>
        <v/>
      </c>
      <c r="C27" s="46" t="str">
        <f>IFERROR(LOP_12!$AH$34,"")</f>
        <v/>
      </c>
      <c r="D27" s="46" t="str">
        <f>IFERROR(LOP_12!$AI$34,"")</f>
        <v/>
      </c>
      <c r="E27" s="41" t="str">
        <f t="shared" si="1"/>
        <v/>
      </c>
      <c r="F27" s="41" t="str">
        <f t="shared" si="2"/>
        <v/>
      </c>
      <c r="G27" s="41" t="str">
        <f>IF(A27="","",SUMIFS(CHUYEN_THANG!$D$4:$D$403,CHUYEN_THANG!$A$4:$A$403,$B$4,CHUYEN_THANG!$B$4:$B$403,A27))</f>
        <v/>
      </c>
      <c r="H27" s="41" t="str">
        <f t="shared" si="3"/>
        <v/>
      </c>
      <c r="I27" s="11"/>
      <c r="J27" s="41" t="str">
        <f t="shared" si="4"/>
        <v/>
      </c>
      <c r="K27" s="41" t="str">
        <f t="shared" si="5"/>
        <v/>
      </c>
      <c r="L27" s="48"/>
      <c r="M27" s="9"/>
      <c r="N27" s="49"/>
      <c r="O27" s="49"/>
    </row>
    <row r="28" ht="15.75" customHeight="1">
      <c r="A28" s="45" t="str">
        <f>IFERROR(LOP_12!$A$35,"")</f>
        <v/>
      </c>
      <c r="B28" s="45" t="str">
        <f>IFERROR(LOP_12!$B$35,"")</f>
        <v/>
      </c>
      <c r="C28" s="46" t="str">
        <f>IFERROR(LOP_12!$AH$35,"")</f>
        <v/>
      </c>
      <c r="D28" s="46" t="str">
        <f>IFERROR(LOP_12!$AI$35,"")</f>
        <v/>
      </c>
      <c r="E28" s="41" t="str">
        <f t="shared" si="1"/>
        <v/>
      </c>
      <c r="F28" s="41" t="str">
        <f t="shared" si="2"/>
        <v/>
      </c>
      <c r="G28" s="41" t="str">
        <f>IF(A28="","",SUMIFS(CHUYEN_THANG!$D$4:$D$403,CHUYEN_THANG!$A$4:$A$403,$B$4,CHUYEN_THANG!$B$4:$B$403,A28))</f>
        <v/>
      </c>
      <c r="H28" s="41" t="str">
        <f t="shared" si="3"/>
        <v/>
      </c>
      <c r="I28" s="11"/>
      <c r="J28" s="41" t="str">
        <f t="shared" si="4"/>
        <v/>
      </c>
      <c r="K28" s="41" t="str">
        <f t="shared" si="5"/>
        <v/>
      </c>
      <c r="L28" s="48"/>
      <c r="M28" s="9"/>
      <c r="N28" s="49"/>
      <c r="O28" s="49"/>
    </row>
    <row r="29" ht="15.75" customHeight="1">
      <c r="A29" s="45" t="str">
        <f>IFERROR(LOP_12!$A$36,"")</f>
        <v/>
      </c>
      <c r="B29" s="45" t="str">
        <f>IFERROR(LOP_12!$B$36,"")</f>
        <v/>
      </c>
      <c r="C29" s="46" t="str">
        <f>IFERROR(LOP_12!$AH$36,"")</f>
        <v/>
      </c>
      <c r="D29" s="46" t="str">
        <f>IFERROR(LOP_12!$AI$36,"")</f>
        <v/>
      </c>
      <c r="E29" s="41" t="str">
        <f t="shared" si="1"/>
        <v/>
      </c>
      <c r="F29" s="41" t="str">
        <f t="shared" si="2"/>
        <v/>
      </c>
      <c r="G29" s="41" t="str">
        <f>IF(A29="","",SUMIFS(CHUYEN_THANG!$D$4:$D$403,CHUYEN_THANG!$A$4:$A$403,$B$4,CHUYEN_THANG!$B$4:$B$403,A29))</f>
        <v/>
      </c>
      <c r="H29" s="41" t="str">
        <f t="shared" si="3"/>
        <v/>
      </c>
      <c r="I29" s="11"/>
      <c r="J29" s="41" t="str">
        <f t="shared" si="4"/>
        <v/>
      </c>
      <c r="K29" s="41" t="str">
        <f t="shared" si="5"/>
        <v/>
      </c>
      <c r="L29" s="48"/>
      <c r="M29" s="9"/>
      <c r="N29" s="49"/>
      <c r="O29" s="49"/>
    </row>
    <row r="30" ht="15.75" customHeight="1">
      <c r="A30" s="45" t="str">
        <f>IFERROR(LOP_12!$A$37,"")</f>
        <v/>
      </c>
      <c r="B30" s="45" t="str">
        <f>IFERROR(LOP_12!$B$37,"")</f>
        <v/>
      </c>
      <c r="C30" s="46" t="str">
        <f>IFERROR(LOP_12!$AH$37,"")</f>
        <v/>
      </c>
      <c r="D30" s="46" t="str">
        <f>IFERROR(LOP_12!$AI$37,"")</f>
        <v/>
      </c>
      <c r="E30" s="41" t="str">
        <f t="shared" si="1"/>
        <v/>
      </c>
      <c r="F30" s="41" t="str">
        <f t="shared" si="2"/>
        <v/>
      </c>
      <c r="G30" s="41" t="str">
        <f>IF(A30="","",SUMIFS(CHUYEN_THANG!$D$4:$D$403,CHUYEN_THANG!$A$4:$A$403,$B$4,CHUYEN_THANG!$B$4:$B$403,A30))</f>
        <v/>
      </c>
      <c r="H30" s="41" t="str">
        <f t="shared" si="3"/>
        <v/>
      </c>
      <c r="I30" s="11"/>
      <c r="J30" s="41" t="str">
        <f t="shared" si="4"/>
        <v/>
      </c>
      <c r="K30" s="41" t="str">
        <f t="shared" si="5"/>
        <v/>
      </c>
      <c r="L30" s="48"/>
      <c r="M30" s="9"/>
      <c r="N30" s="49"/>
      <c r="O30" s="49"/>
    </row>
    <row r="31" ht="15.75" customHeight="1">
      <c r="A31" s="45" t="str">
        <f>IFERROR(LOP_12!$A$38,"")</f>
        <v/>
      </c>
      <c r="B31" s="45" t="str">
        <f>IFERROR(LOP_12!$B$38,"")</f>
        <v/>
      </c>
      <c r="C31" s="46" t="str">
        <f>IFERROR(LOP_12!$AH$38,"")</f>
        <v/>
      </c>
      <c r="D31" s="46" t="str">
        <f>IFERROR(LOP_12!$AI$38,"")</f>
        <v/>
      </c>
      <c r="E31" s="41" t="str">
        <f t="shared" si="1"/>
        <v/>
      </c>
      <c r="F31" s="41" t="str">
        <f t="shared" si="2"/>
        <v/>
      </c>
      <c r="G31" s="41" t="str">
        <f>IF(A31="","",SUMIFS(CHUYEN_THANG!$D$4:$D$403,CHUYEN_THANG!$A$4:$A$403,$B$4,CHUYEN_THANG!$B$4:$B$403,A31))</f>
        <v/>
      </c>
      <c r="H31" s="41" t="str">
        <f t="shared" si="3"/>
        <v/>
      </c>
      <c r="I31" s="11"/>
      <c r="J31" s="41" t="str">
        <f t="shared" si="4"/>
        <v/>
      </c>
      <c r="K31" s="41" t="str">
        <f t="shared" si="5"/>
        <v/>
      </c>
      <c r="L31" s="48"/>
      <c r="M31" s="9"/>
      <c r="N31" s="49"/>
      <c r="O31" s="49"/>
    </row>
    <row r="32" ht="15.75" customHeight="1">
      <c r="A32" s="45" t="str">
        <f>IFERROR(LOP_12!$A$39,"")</f>
        <v/>
      </c>
      <c r="B32" s="45" t="str">
        <f>IFERROR(LOP_12!$B$39,"")</f>
        <v/>
      </c>
      <c r="C32" s="46" t="str">
        <f>IFERROR(LOP_12!$AH$39,"")</f>
        <v/>
      </c>
      <c r="D32" s="46" t="str">
        <f>IFERROR(LOP_12!$AI$39,"")</f>
        <v/>
      </c>
      <c r="E32" s="41" t="str">
        <f t="shared" si="1"/>
        <v/>
      </c>
      <c r="F32" s="41" t="str">
        <f t="shared" si="2"/>
        <v/>
      </c>
      <c r="G32" s="41" t="str">
        <f>IF(A32="","",SUMIFS(CHUYEN_THANG!$D$4:$D$403,CHUYEN_THANG!$A$4:$A$403,$B$4,CHUYEN_THANG!$B$4:$B$403,A32))</f>
        <v/>
      </c>
      <c r="H32" s="41" t="str">
        <f t="shared" si="3"/>
        <v/>
      </c>
      <c r="I32" s="11"/>
      <c r="J32" s="41" t="str">
        <f t="shared" si="4"/>
        <v/>
      </c>
      <c r="K32" s="41" t="str">
        <f t="shared" si="5"/>
        <v/>
      </c>
      <c r="L32" s="48"/>
      <c r="M32" s="9"/>
      <c r="N32" s="49"/>
      <c r="O32" s="49"/>
    </row>
    <row r="33" ht="15.75" customHeight="1">
      <c r="A33" s="45" t="str">
        <f>IFERROR(LOP_12!$A$40,"")</f>
        <v/>
      </c>
      <c r="B33" s="45" t="str">
        <f>IFERROR(LOP_12!$B$40,"")</f>
        <v/>
      </c>
      <c r="C33" s="46" t="str">
        <f>IFERROR(LOP_12!$AH$40,"")</f>
        <v/>
      </c>
      <c r="D33" s="46" t="str">
        <f>IFERROR(LOP_12!$AI$40,"")</f>
        <v/>
      </c>
      <c r="E33" s="41" t="str">
        <f t="shared" si="1"/>
        <v/>
      </c>
      <c r="F33" s="41" t="str">
        <f t="shared" si="2"/>
        <v/>
      </c>
      <c r="G33" s="41" t="str">
        <f>IF(A33="","",SUMIFS(CHUYEN_THANG!$D$4:$D$403,CHUYEN_THANG!$A$4:$A$403,$B$4,CHUYEN_THANG!$B$4:$B$403,A33))</f>
        <v/>
      </c>
      <c r="H33" s="41" t="str">
        <f t="shared" si="3"/>
        <v/>
      </c>
      <c r="I33" s="11"/>
      <c r="J33" s="41" t="str">
        <f t="shared" si="4"/>
        <v/>
      </c>
      <c r="K33" s="41" t="str">
        <f t="shared" si="5"/>
        <v/>
      </c>
      <c r="L33" s="48"/>
      <c r="M33" s="9"/>
      <c r="N33" s="49"/>
      <c r="O33" s="49"/>
    </row>
    <row r="34" ht="15.75" customHeight="1">
      <c r="A34" s="45" t="str">
        <f>IFERROR(LOP_12!$A$41,"")</f>
        <v/>
      </c>
      <c r="B34" s="45" t="str">
        <f>IFERROR(LOP_12!$B$41,"")</f>
        <v/>
      </c>
      <c r="C34" s="46" t="str">
        <f>IFERROR(LOP_12!$AH$41,"")</f>
        <v/>
      </c>
      <c r="D34" s="46" t="str">
        <f>IFERROR(LOP_12!$AI$41,"")</f>
        <v/>
      </c>
      <c r="E34" s="41" t="str">
        <f t="shared" si="1"/>
        <v/>
      </c>
      <c r="F34" s="41" t="str">
        <f t="shared" si="2"/>
        <v/>
      </c>
      <c r="G34" s="41" t="str">
        <f>IF(A34="","",SUMIFS(CHUYEN_THANG!$D$4:$D$403,CHUYEN_THANG!$A$4:$A$403,$B$4,CHUYEN_THANG!$B$4:$B$403,A34))</f>
        <v/>
      </c>
      <c r="H34" s="41" t="str">
        <f t="shared" si="3"/>
        <v/>
      </c>
      <c r="I34" s="11"/>
      <c r="J34" s="41" t="str">
        <f t="shared" si="4"/>
        <v/>
      </c>
      <c r="K34" s="41" t="str">
        <f t="shared" si="5"/>
        <v/>
      </c>
      <c r="L34" s="48"/>
      <c r="M34" s="9"/>
      <c r="N34" s="49"/>
      <c r="O34" s="49"/>
    </row>
    <row r="35" ht="15.75" customHeight="1">
      <c r="A35" s="45" t="str">
        <f>IFERROR(LOP_12!$A$42,"")</f>
        <v/>
      </c>
      <c r="B35" s="45" t="str">
        <f>IFERROR(LOP_12!$B$42,"")</f>
        <v/>
      </c>
      <c r="C35" s="46" t="str">
        <f>IFERROR(LOP_12!$AH$42,"")</f>
        <v/>
      </c>
      <c r="D35" s="46" t="str">
        <f>IFERROR(LOP_12!$AI$42,"")</f>
        <v/>
      </c>
      <c r="E35" s="41" t="str">
        <f t="shared" si="1"/>
        <v/>
      </c>
      <c r="F35" s="41" t="str">
        <f t="shared" si="2"/>
        <v/>
      </c>
      <c r="G35" s="41" t="str">
        <f>IF(A35="","",SUMIFS(CHUYEN_THANG!$D$4:$D$403,CHUYEN_THANG!$A$4:$A$403,$B$4,CHUYEN_THANG!$B$4:$B$403,A35))</f>
        <v/>
      </c>
      <c r="H35" s="41" t="str">
        <f t="shared" si="3"/>
        <v/>
      </c>
      <c r="I35" s="11"/>
      <c r="J35" s="41" t="str">
        <f t="shared" si="4"/>
        <v/>
      </c>
      <c r="K35" s="41" t="str">
        <f t="shared" si="5"/>
        <v/>
      </c>
      <c r="L35" s="48"/>
      <c r="M35" s="9"/>
      <c r="N35" s="49"/>
      <c r="O35" s="49"/>
    </row>
    <row r="36" ht="15.75" customHeight="1">
      <c r="A36" s="45" t="str">
        <f>IFERROR(LOP_12!$A$43,"")</f>
        <v/>
      </c>
      <c r="B36" s="45" t="str">
        <f>IFERROR(LOP_12!$B$43,"")</f>
        <v/>
      </c>
      <c r="C36" s="46" t="str">
        <f>IFERROR(LOP_12!$AH$43,"")</f>
        <v/>
      </c>
      <c r="D36" s="46" t="str">
        <f>IFERROR(LOP_12!$AI$43,"")</f>
        <v/>
      </c>
      <c r="E36" s="41" t="str">
        <f t="shared" si="1"/>
        <v/>
      </c>
      <c r="F36" s="41" t="str">
        <f t="shared" si="2"/>
        <v/>
      </c>
      <c r="G36" s="41" t="str">
        <f>IF(A36="","",SUMIFS(CHUYEN_THANG!$D$4:$D$403,CHUYEN_THANG!$A$4:$A$403,$B$4,CHUYEN_THANG!$B$4:$B$403,A36))</f>
        <v/>
      </c>
      <c r="H36" s="41" t="str">
        <f t="shared" si="3"/>
        <v/>
      </c>
      <c r="I36" s="11"/>
      <c r="J36" s="41" t="str">
        <f t="shared" si="4"/>
        <v/>
      </c>
      <c r="K36" s="41" t="str">
        <f t="shared" si="5"/>
        <v/>
      </c>
      <c r="L36" s="48"/>
      <c r="M36" s="9"/>
      <c r="N36" s="49"/>
      <c r="O36" s="49"/>
    </row>
    <row r="37" ht="15.75" customHeight="1">
      <c r="A37" s="45" t="str">
        <f>IFERROR(LOP_12!$A$44,"")</f>
        <v/>
      </c>
      <c r="B37" s="45" t="str">
        <f>IFERROR(LOP_12!$B$44,"")</f>
        <v/>
      </c>
      <c r="C37" s="46" t="str">
        <f>IFERROR(LOP_12!$AH$44,"")</f>
        <v/>
      </c>
      <c r="D37" s="46" t="str">
        <f>IFERROR(LOP_12!$AI$44,"")</f>
        <v/>
      </c>
      <c r="E37" s="41" t="str">
        <f t="shared" si="1"/>
        <v/>
      </c>
      <c r="F37" s="41" t="str">
        <f t="shared" si="2"/>
        <v/>
      </c>
      <c r="G37" s="41" t="str">
        <f>IF(A37="","",SUMIFS(CHUYEN_THANG!$D$4:$D$403,CHUYEN_THANG!$A$4:$A$403,$B$4,CHUYEN_THANG!$B$4:$B$403,A37))</f>
        <v/>
      </c>
      <c r="H37" s="41" t="str">
        <f t="shared" si="3"/>
        <v/>
      </c>
      <c r="I37" s="11"/>
      <c r="J37" s="41" t="str">
        <f t="shared" si="4"/>
        <v/>
      </c>
      <c r="K37" s="41" t="str">
        <f t="shared" si="5"/>
        <v/>
      </c>
      <c r="L37" s="48"/>
      <c r="M37" s="9"/>
      <c r="N37" s="49"/>
      <c r="O37" s="49"/>
    </row>
    <row r="38" ht="15.75" customHeight="1">
      <c r="A38" s="45" t="str">
        <f>IFERROR(LOP_12!$A$45,"")</f>
        <v/>
      </c>
      <c r="B38" s="45" t="str">
        <f>IFERROR(LOP_12!$B$45,"")</f>
        <v/>
      </c>
      <c r="C38" s="46" t="str">
        <f>IFERROR(LOP_12!$AH$45,"")</f>
        <v/>
      </c>
      <c r="D38" s="46" t="str">
        <f>IFERROR(LOP_12!$AI$45,"")</f>
        <v/>
      </c>
      <c r="E38" s="41" t="str">
        <f t="shared" si="1"/>
        <v/>
      </c>
      <c r="F38" s="41" t="str">
        <f t="shared" si="2"/>
        <v/>
      </c>
      <c r="G38" s="41" t="str">
        <f>IF(A38="","",SUMIFS(CHUYEN_THANG!$D$4:$D$403,CHUYEN_THANG!$A$4:$A$403,$B$4,CHUYEN_THANG!$B$4:$B$403,A38))</f>
        <v/>
      </c>
      <c r="H38" s="41" t="str">
        <f t="shared" si="3"/>
        <v/>
      </c>
      <c r="I38" s="11"/>
      <c r="J38" s="41" t="str">
        <f t="shared" si="4"/>
        <v/>
      </c>
      <c r="K38" s="41" t="str">
        <f t="shared" si="5"/>
        <v/>
      </c>
      <c r="L38" s="48"/>
      <c r="M38" s="9"/>
      <c r="N38" s="49"/>
      <c r="O38" s="49"/>
    </row>
    <row r="39" ht="15.75" customHeight="1">
      <c r="A39" s="45" t="str">
        <f>IFERROR(LOP_12!$A$46,"")</f>
        <v/>
      </c>
      <c r="B39" s="45" t="str">
        <f>IFERROR(LOP_12!$B$46,"")</f>
        <v/>
      </c>
      <c r="C39" s="46" t="str">
        <f>IFERROR(LOP_12!$AH$46,"")</f>
        <v/>
      </c>
      <c r="D39" s="46" t="str">
        <f>IFERROR(LOP_12!$AI$46,"")</f>
        <v/>
      </c>
      <c r="E39" s="41" t="str">
        <f t="shared" si="1"/>
        <v/>
      </c>
      <c r="F39" s="41" t="str">
        <f t="shared" si="2"/>
        <v/>
      </c>
      <c r="G39" s="41" t="str">
        <f>IF(A39="","",SUMIFS(CHUYEN_THANG!$D$4:$D$403,CHUYEN_THANG!$A$4:$A$403,$B$4,CHUYEN_THANG!$B$4:$B$403,A39))</f>
        <v/>
      </c>
      <c r="H39" s="41" t="str">
        <f t="shared" si="3"/>
        <v/>
      </c>
      <c r="I39" s="11"/>
      <c r="J39" s="41" t="str">
        <f t="shared" si="4"/>
        <v/>
      </c>
      <c r="K39" s="41" t="str">
        <f t="shared" si="5"/>
        <v/>
      </c>
      <c r="L39" s="48"/>
      <c r="M39" s="9"/>
      <c r="N39" s="49"/>
      <c r="O39" s="49"/>
    </row>
    <row r="40" ht="15.75" customHeight="1">
      <c r="A40" s="45" t="str">
        <f>IFERROR(LOP_12!$A$47,"")</f>
        <v/>
      </c>
      <c r="B40" s="45" t="str">
        <f>IFERROR(LOP_12!$B$47,"")</f>
        <v/>
      </c>
      <c r="C40" s="46" t="str">
        <f>IFERROR(LOP_12!$AH$47,"")</f>
        <v/>
      </c>
      <c r="D40" s="46" t="str">
        <f>IFERROR(LOP_12!$AI$47,"")</f>
        <v/>
      </c>
      <c r="E40" s="41" t="str">
        <f t="shared" si="1"/>
        <v/>
      </c>
      <c r="F40" s="41" t="str">
        <f t="shared" si="2"/>
        <v/>
      </c>
      <c r="G40" s="41" t="str">
        <f>IF(A40="","",SUMIFS(CHUYEN_THANG!$D$4:$D$403,CHUYEN_THANG!$A$4:$A$403,$B$4,CHUYEN_THANG!$B$4:$B$403,A40))</f>
        <v/>
      </c>
      <c r="H40" s="41" t="str">
        <f t="shared" si="3"/>
        <v/>
      </c>
      <c r="I40" s="11"/>
      <c r="J40" s="41" t="str">
        <f t="shared" si="4"/>
        <v/>
      </c>
      <c r="K40" s="41" t="str">
        <f t="shared" si="5"/>
        <v/>
      </c>
      <c r="L40" s="48"/>
      <c r="M40" s="9"/>
      <c r="N40" s="49"/>
      <c r="O40" s="49"/>
    </row>
    <row r="41" ht="15.75" customHeight="1">
      <c r="A41" s="45" t="str">
        <f>IFERROR(LOP_12!$A$48,"")</f>
        <v/>
      </c>
      <c r="B41" s="45" t="str">
        <f>IFERROR(LOP_12!$B$48,"")</f>
        <v/>
      </c>
      <c r="C41" s="46" t="str">
        <f>IFERROR(LOP_12!$AH$48,"")</f>
        <v/>
      </c>
      <c r="D41" s="46" t="str">
        <f>IFERROR(LOP_12!$AI$48,"")</f>
        <v/>
      </c>
      <c r="E41" s="41" t="str">
        <f t="shared" si="1"/>
        <v/>
      </c>
      <c r="F41" s="41" t="str">
        <f t="shared" si="2"/>
        <v/>
      </c>
      <c r="G41" s="41" t="str">
        <f>IF(A41="","",SUMIFS(CHUYEN_THANG!$D$4:$D$403,CHUYEN_THANG!$A$4:$A$403,$B$4,CHUYEN_THANG!$B$4:$B$403,A41))</f>
        <v/>
      </c>
      <c r="H41" s="41" t="str">
        <f t="shared" si="3"/>
        <v/>
      </c>
      <c r="I41" s="11"/>
      <c r="J41" s="41" t="str">
        <f t="shared" si="4"/>
        <v/>
      </c>
      <c r="K41" s="41" t="str">
        <f t="shared" si="5"/>
        <v/>
      </c>
      <c r="L41" s="48"/>
      <c r="M41" s="9"/>
      <c r="N41" s="49"/>
      <c r="O41" s="49"/>
    </row>
    <row r="42" ht="15.75" customHeight="1">
      <c r="A42" s="45" t="str">
        <f>IFERROR(LOP_12!$A$49,"")</f>
        <v/>
      </c>
      <c r="B42" s="45" t="str">
        <f>IFERROR(LOP_12!$B$49,"")</f>
        <v/>
      </c>
      <c r="C42" s="46" t="str">
        <f>IFERROR(LOP_12!$AH$49,"")</f>
        <v/>
      </c>
      <c r="D42" s="46" t="str">
        <f>IFERROR(LOP_12!$AI$49,"")</f>
        <v/>
      </c>
      <c r="E42" s="41" t="str">
        <f t="shared" si="1"/>
        <v/>
      </c>
      <c r="F42" s="41" t="str">
        <f t="shared" si="2"/>
        <v/>
      </c>
      <c r="G42" s="41" t="str">
        <f>IF(A42="","",SUMIFS(CHUYEN_THANG!$D$4:$D$403,CHUYEN_THANG!$A$4:$A$403,$B$4,CHUYEN_THANG!$B$4:$B$403,A42))</f>
        <v/>
      </c>
      <c r="H42" s="41" t="str">
        <f t="shared" si="3"/>
        <v/>
      </c>
      <c r="I42" s="11"/>
      <c r="J42" s="41" t="str">
        <f t="shared" si="4"/>
        <v/>
      </c>
      <c r="K42" s="41" t="str">
        <f t="shared" si="5"/>
        <v/>
      </c>
      <c r="L42" s="48"/>
      <c r="M42" s="9"/>
      <c r="N42" s="49"/>
      <c r="O42" s="49"/>
    </row>
    <row r="43" ht="15.75" customHeight="1">
      <c r="A43" s="45" t="str">
        <f>IFERROR(LOP_12!$A$50,"")</f>
        <v/>
      </c>
      <c r="B43" s="45" t="str">
        <f>IFERROR(LOP_12!$B$50,"")</f>
        <v/>
      </c>
      <c r="C43" s="46" t="str">
        <f>IFERROR(LOP_12!$AH$50,"")</f>
        <v/>
      </c>
      <c r="D43" s="46" t="str">
        <f>IFERROR(LOP_12!$AI$50,"")</f>
        <v/>
      </c>
      <c r="E43" s="41" t="str">
        <f t="shared" si="1"/>
        <v/>
      </c>
      <c r="F43" s="41" t="str">
        <f t="shared" si="2"/>
        <v/>
      </c>
      <c r="G43" s="41" t="str">
        <f>IF(A43="","",SUMIFS(CHUYEN_THANG!$D$4:$D$403,CHUYEN_THANG!$A$4:$A$403,$B$4,CHUYEN_THANG!$B$4:$B$403,A43))</f>
        <v/>
      </c>
      <c r="H43" s="41" t="str">
        <f t="shared" si="3"/>
        <v/>
      </c>
      <c r="I43" s="11"/>
      <c r="J43" s="41" t="str">
        <f t="shared" si="4"/>
        <v/>
      </c>
      <c r="K43" s="41" t="str">
        <f t="shared" si="5"/>
        <v/>
      </c>
      <c r="L43" s="48"/>
      <c r="M43" s="9"/>
      <c r="N43" s="49"/>
      <c r="O43" s="49"/>
    </row>
    <row r="44" ht="15.75" customHeight="1">
      <c r="A44" s="50"/>
      <c r="B44" s="50"/>
      <c r="C44" s="51"/>
      <c r="D44" s="51"/>
      <c r="E44" s="43"/>
      <c r="F44" s="43"/>
      <c r="G44" s="43"/>
      <c r="H44" s="43"/>
      <c r="I44" s="49"/>
      <c r="J44" s="43"/>
      <c r="K44" s="43"/>
      <c r="L44" s="52"/>
      <c r="M44" s="53"/>
      <c r="N44" s="49"/>
      <c r="O44" s="49"/>
    </row>
    <row r="45" ht="15.75" customHeight="1">
      <c r="A45" s="50"/>
      <c r="B45" s="50"/>
      <c r="C45" s="51"/>
      <c r="D45" s="51"/>
      <c r="E45" s="43"/>
      <c r="F45" s="43"/>
      <c r="G45" s="43"/>
      <c r="H45" s="43"/>
      <c r="I45" s="49"/>
      <c r="J45" s="43"/>
      <c r="K45" s="43"/>
      <c r="L45" s="52"/>
      <c r="M45" s="53"/>
      <c r="N45" s="49"/>
      <c r="O45" s="49"/>
    </row>
    <row r="46" ht="15.75" customHeight="1">
      <c r="A46" s="50"/>
      <c r="B46" s="50"/>
      <c r="C46" s="51"/>
      <c r="D46" s="51"/>
      <c r="E46" s="43"/>
      <c r="F46" s="43"/>
      <c r="G46" s="43"/>
      <c r="H46" s="43"/>
      <c r="I46" s="49"/>
      <c r="J46" s="43"/>
      <c r="K46" s="43"/>
      <c r="L46" s="52"/>
      <c r="M46" s="53"/>
      <c r="N46" s="49"/>
      <c r="O46" s="49"/>
    </row>
    <row r="47" ht="15.75" customHeight="1">
      <c r="A47" s="50"/>
      <c r="B47" s="50"/>
      <c r="C47" s="51"/>
      <c r="D47" s="51"/>
      <c r="E47" s="43"/>
      <c r="F47" s="43"/>
      <c r="G47" s="43"/>
      <c r="H47" s="43"/>
      <c r="I47" s="49"/>
      <c r="J47" s="43"/>
      <c r="K47" s="43"/>
      <c r="L47" s="52"/>
      <c r="M47" s="53"/>
      <c r="N47" s="49"/>
      <c r="O47" s="49"/>
    </row>
    <row r="48" ht="15.75" customHeight="1">
      <c r="A48" s="50"/>
      <c r="B48" s="50"/>
      <c r="C48" s="51"/>
      <c r="D48" s="51"/>
      <c r="E48" s="43"/>
      <c r="F48" s="43"/>
      <c r="G48" s="43"/>
      <c r="H48" s="43"/>
      <c r="I48" s="49"/>
      <c r="J48" s="43"/>
      <c r="K48" s="43"/>
      <c r="L48" s="52"/>
      <c r="M48" s="53"/>
      <c r="N48" s="49"/>
      <c r="O48" s="49"/>
    </row>
    <row r="49" ht="15.75" customHeight="1">
      <c r="A49" s="50"/>
      <c r="B49" s="50"/>
      <c r="C49" s="51"/>
      <c r="D49" s="51"/>
      <c r="E49" s="43"/>
      <c r="F49" s="43"/>
      <c r="G49" s="43"/>
      <c r="H49" s="43"/>
      <c r="I49" s="49"/>
      <c r="J49" s="43"/>
      <c r="K49" s="43"/>
      <c r="L49" s="52"/>
      <c r="M49" s="53"/>
      <c r="N49" s="49"/>
      <c r="O49" s="49"/>
    </row>
    <row r="50" ht="15.75" customHeight="1">
      <c r="A50" s="50"/>
      <c r="B50" s="50"/>
      <c r="C50" s="51"/>
      <c r="D50" s="51"/>
      <c r="E50" s="43"/>
      <c r="F50" s="43"/>
      <c r="G50" s="43"/>
      <c r="H50" s="43"/>
      <c r="I50" s="49"/>
      <c r="J50" s="43"/>
      <c r="K50" s="43"/>
      <c r="L50" s="52"/>
      <c r="M50" s="53"/>
      <c r="N50" s="49"/>
      <c r="O50" s="49"/>
    </row>
    <row r="51" ht="15.75" customHeight="1">
      <c r="A51" s="50"/>
      <c r="B51" s="50"/>
      <c r="C51" s="51"/>
      <c r="D51" s="51"/>
      <c r="E51" s="43"/>
      <c r="F51" s="43"/>
      <c r="G51" s="43"/>
      <c r="H51" s="43"/>
      <c r="I51" s="49"/>
      <c r="J51" s="43"/>
      <c r="K51" s="43"/>
      <c r="L51" s="52"/>
      <c r="M51" s="53"/>
      <c r="N51" s="49"/>
      <c r="O51" s="49"/>
    </row>
    <row r="52" ht="15.75" customHeight="1">
      <c r="A52" s="50"/>
      <c r="B52" s="50"/>
      <c r="C52" s="51"/>
      <c r="D52" s="51"/>
      <c r="E52" s="43"/>
      <c r="F52" s="43"/>
      <c r="G52" s="43"/>
      <c r="H52" s="43"/>
      <c r="I52" s="49"/>
      <c r="J52" s="43"/>
      <c r="K52" s="43"/>
      <c r="L52" s="52"/>
      <c r="M52" s="53"/>
      <c r="N52" s="49"/>
      <c r="O52" s="49"/>
    </row>
    <row r="53" ht="15.75" customHeight="1">
      <c r="A53" s="50"/>
      <c r="B53" s="50"/>
      <c r="C53" s="51"/>
      <c r="D53" s="51"/>
      <c r="E53" s="43"/>
      <c r="F53" s="43"/>
      <c r="G53" s="43"/>
      <c r="H53" s="43"/>
      <c r="I53" s="49"/>
      <c r="J53" s="43"/>
      <c r="K53" s="43"/>
      <c r="L53" s="52"/>
      <c r="M53" s="53"/>
      <c r="N53" s="49"/>
      <c r="O53" s="49"/>
    </row>
    <row r="54" ht="15.75" customHeight="1">
      <c r="A54" s="50"/>
      <c r="B54" s="50"/>
      <c r="C54" s="51"/>
      <c r="D54" s="51"/>
      <c r="E54" s="43"/>
      <c r="F54" s="43"/>
      <c r="G54" s="43"/>
      <c r="H54" s="43"/>
      <c r="I54" s="49"/>
      <c r="J54" s="43"/>
      <c r="K54" s="43"/>
      <c r="L54" s="52"/>
      <c r="M54" s="53"/>
      <c r="N54" s="49"/>
      <c r="O54" s="49"/>
    </row>
    <row r="55" ht="15.75" customHeight="1">
      <c r="A55" s="50"/>
      <c r="B55" s="50"/>
      <c r="C55" s="51"/>
      <c r="D55" s="51"/>
      <c r="E55" s="43"/>
      <c r="F55" s="43"/>
      <c r="G55" s="43"/>
      <c r="H55" s="43"/>
      <c r="I55" s="49"/>
      <c r="J55" s="43"/>
      <c r="K55" s="43"/>
      <c r="L55" s="52"/>
      <c r="M55" s="53"/>
      <c r="N55" s="49"/>
      <c r="O55" s="49"/>
    </row>
    <row r="56" ht="15.75" customHeight="1">
      <c r="A56" s="50"/>
      <c r="B56" s="50"/>
      <c r="C56" s="51"/>
      <c r="D56" s="51"/>
      <c r="E56" s="43"/>
      <c r="F56" s="43"/>
      <c r="G56" s="43"/>
      <c r="H56" s="43"/>
      <c r="I56" s="49"/>
      <c r="J56" s="43"/>
      <c r="K56" s="43"/>
      <c r="L56" s="52"/>
      <c r="M56" s="53"/>
      <c r="N56" s="49"/>
      <c r="O56" s="49"/>
    </row>
    <row r="57" ht="15.75" customHeight="1">
      <c r="A57" s="50"/>
      <c r="B57" s="50"/>
      <c r="C57" s="51"/>
      <c r="D57" s="51"/>
      <c r="E57" s="43"/>
      <c r="F57" s="43"/>
      <c r="G57" s="43"/>
      <c r="H57" s="43"/>
      <c r="I57" s="49"/>
      <c r="J57" s="43"/>
      <c r="K57" s="43"/>
      <c r="L57" s="52"/>
      <c r="M57" s="53"/>
      <c r="N57" s="49"/>
      <c r="O57" s="49"/>
    </row>
    <row r="58" ht="15.75" customHeight="1">
      <c r="A58" s="50"/>
      <c r="B58" s="50"/>
      <c r="C58" s="51"/>
      <c r="D58" s="51"/>
      <c r="E58" s="43"/>
      <c r="F58" s="43"/>
      <c r="G58" s="43"/>
      <c r="H58" s="43"/>
      <c r="I58" s="49"/>
      <c r="J58" s="43"/>
      <c r="K58" s="43"/>
      <c r="L58" s="52"/>
      <c r="M58" s="53"/>
      <c r="N58" s="49"/>
      <c r="O58" s="49"/>
    </row>
    <row r="59" ht="15.75" customHeight="1">
      <c r="A59" s="50"/>
      <c r="B59" s="50"/>
      <c r="C59" s="51"/>
      <c r="D59" s="51"/>
      <c r="E59" s="43"/>
      <c r="F59" s="43"/>
      <c r="G59" s="43"/>
      <c r="H59" s="43"/>
      <c r="I59" s="49"/>
      <c r="J59" s="43"/>
      <c r="K59" s="43"/>
      <c r="L59" s="52"/>
      <c r="M59" s="53"/>
      <c r="N59" s="49"/>
      <c r="O59" s="49"/>
    </row>
    <row r="60" ht="15.75" customHeight="1">
      <c r="A60" s="50"/>
      <c r="B60" s="50"/>
      <c r="C60" s="51"/>
      <c r="D60" s="51"/>
      <c r="E60" s="43"/>
      <c r="F60" s="43"/>
      <c r="G60" s="43"/>
      <c r="H60" s="43"/>
      <c r="I60" s="49"/>
      <c r="J60" s="43"/>
      <c r="K60" s="43"/>
      <c r="L60" s="52"/>
      <c r="M60" s="53"/>
      <c r="N60" s="49"/>
      <c r="O60" s="49"/>
    </row>
    <row r="61" ht="15.75" customHeight="1">
      <c r="A61" s="50"/>
      <c r="B61" s="50"/>
      <c r="C61" s="51"/>
      <c r="D61" s="51"/>
      <c r="E61" s="43"/>
      <c r="F61" s="43"/>
      <c r="G61" s="43"/>
      <c r="H61" s="43"/>
      <c r="I61" s="49"/>
      <c r="J61" s="43"/>
      <c r="K61" s="43"/>
      <c r="L61" s="52"/>
      <c r="M61" s="53"/>
      <c r="N61" s="49"/>
      <c r="O61" s="49"/>
    </row>
    <row r="62" ht="15.75" customHeight="1">
      <c r="A62" s="50"/>
      <c r="B62" s="50"/>
      <c r="C62" s="51"/>
      <c r="D62" s="51"/>
      <c r="E62" s="43"/>
      <c r="F62" s="43"/>
      <c r="G62" s="43"/>
      <c r="H62" s="43"/>
      <c r="I62" s="49"/>
      <c r="J62" s="43"/>
      <c r="K62" s="43"/>
      <c r="L62" s="52"/>
      <c r="M62" s="53"/>
      <c r="N62" s="49"/>
      <c r="O62" s="49"/>
    </row>
    <row r="63" ht="15.75" customHeight="1">
      <c r="A63" s="50"/>
      <c r="B63" s="50"/>
      <c r="C63" s="51"/>
      <c r="D63" s="51"/>
      <c r="E63" s="43"/>
      <c r="F63" s="43"/>
      <c r="G63" s="43"/>
      <c r="H63" s="43"/>
      <c r="I63" s="49"/>
      <c r="J63" s="43"/>
      <c r="K63" s="43"/>
      <c r="L63" s="52"/>
      <c r="M63" s="53"/>
      <c r="N63" s="49"/>
      <c r="O63" s="49"/>
    </row>
    <row r="64" ht="15.75" customHeight="1">
      <c r="A64" s="50"/>
      <c r="B64" s="50"/>
      <c r="C64" s="51"/>
      <c r="D64" s="51"/>
      <c r="E64" s="43"/>
      <c r="F64" s="43"/>
      <c r="G64" s="43"/>
      <c r="H64" s="43"/>
      <c r="I64" s="49"/>
      <c r="J64" s="43"/>
      <c r="K64" s="43"/>
      <c r="L64" s="52"/>
      <c r="M64" s="53"/>
      <c r="N64" s="49"/>
      <c r="O64" s="49"/>
    </row>
    <row r="65" ht="15.75" customHeight="1">
      <c r="A65" s="50"/>
      <c r="B65" s="50"/>
      <c r="C65" s="51"/>
      <c r="D65" s="51"/>
      <c r="E65" s="43"/>
      <c r="F65" s="43"/>
      <c r="G65" s="43"/>
      <c r="H65" s="43"/>
      <c r="I65" s="49"/>
      <c r="J65" s="43"/>
      <c r="K65" s="43"/>
      <c r="L65" s="52"/>
      <c r="M65" s="53"/>
      <c r="N65" s="49"/>
      <c r="O65" s="49"/>
    </row>
    <row r="66" ht="15.75" customHeight="1">
      <c r="A66" s="50"/>
      <c r="B66" s="50"/>
      <c r="C66" s="51"/>
      <c r="D66" s="51"/>
      <c r="E66" s="43"/>
      <c r="F66" s="43"/>
      <c r="G66" s="43"/>
      <c r="H66" s="43"/>
      <c r="I66" s="49"/>
      <c r="J66" s="43"/>
      <c r="K66" s="43"/>
      <c r="L66" s="52"/>
      <c r="M66" s="53"/>
      <c r="N66" s="49"/>
      <c r="O66" s="49"/>
    </row>
    <row r="67" ht="15.75" customHeight="1">
      <c r="A67" s="50"/>
      <c r="B67" s="50"/>
      <c r="C67" s="51"/>
      <c r="D67" s="51"/>
      <c r="E67" s="43"/>
      <c r="F67" s="43"/>
      <c r="G67" s="43"/>
      <c r="H67" s="43"/>
      <c r="I67" s="49"/>
      <c r="J67" s="43"/>
      <c r="K67" s="43"/>
      <c r="L67" s="52"/>
      <c r="M67" s="53"/>
      <c r="N67" s="49"/>
      <c r="O67" s="49"/>
    </row>
    <row r="68" ht="15.75" customHeight="1">
      <c r="A68" s="50"/>
      <c r="B68" s="50"/>
      <c r="C68" s="51"/>
      <c r="D68" s="51"/>
      <c r="E68" s="43"/>
      <c r="F68" s="43"/>
      <c r="G68" s="43"/>
      <c r="H68" s="43"/>
      <c r="I68" s="49"/>
      <c r="J68" s="43"/>
      <c r="K68" s="43"/>
      <c r="L68" s="52"/>
      <c r="M68" s="53"/>
      <c r="N68" s="49"/>
      <c r="O68" s="49"/>
    </row>
    <row r="69" ht="15.75" customHeight="1">
      <c r="A69" s="50"/>
      <c r="B69" s="50"/>
      <c r="C69" s="51"/>
      <c r="D69" s="51"/>
      <c r="E69" s="43"/>
      <c r="F69" s="43"/>
      <c r="G69" s="43"/>
      <c r="H69" s="43"/>
      <c r="I69" s="49"/>
      <c r="J69" s="43"/>
      <c r="K69" s="43"/>
      <c r="L69" s="52"/>
      <c r="M69" s="53"/>
      <c r="N69" s="49"/>
      <c r="O69" s="49"/>
    </row>
    <row r="70" ht="15.75" customHeight="1">
      <c r="A70" s="50"/>
      <c r="B70" s="50"/>
      <c r="C70" s="51"/>
      <c r="D70" s="51"/>
      <c r="E70" s="43"/>
      <c r="F70" s="43"/>
      <c r="G70" s="43"/>
      <c r="H70" s="43"/>
      <c r="I70" s="49"/>
      <c r="J70" s="43"/>
      <c r="K70" s="43"/>
      <c r="L70" s="52"/>
      <c r="M70" s="53"/>
      <c r="N70" s="49"/>
      <c r="O70" s="49"/>
    </row>
    <row r="71" ht="15.75" customHeight="1">
      <c r="A71" s="50"/>
      <c r="B71" s="50"/>
      <c r="C71" s="51"/>
      <c r="D71" s="51"/>
      <c r="E71" s="43"/>
      <c r="F71" s="43"/>
      <c r="G71" s="43"/>
      <c r="H71" s="43"/>
      <c r="I71" s="49"/>
      <c r="J71" s="43"/>
      <c r="K71" s="43"/>
      <c r="L71" s="52"/>
      <c r="M71" s="53"/>
      <c r="N71" s="49"/>
      <c r="O71" s="49"/>
    </row>
    <row r="72" ht="15.75" customHeight="1">
      <c r="A72" s="50"/>
      <c r="B72" s="50"/>
      <c r="C72" s="51"/>
      <c r="D72" s="51"/>
      <c r="E72" s="43"/>
      <c r="F72" s="43"/>
      <c r="G72" s="43"/>
      <c r="H72" s="43"/>
      <c r="I72" s="49"/>
      <c r="J72" s="43"/>
      <c r="K72" s="43"/>
      <c r="L72" s="52"/>
      <c r="M72" s="53"/>
      <c r="N72" s="49"/>
      <c r="O72" s="49"/>
    </row>
    <row r="73" ht="15.75" customHeight="1">
      <c r="A73" s="50"/>
      <c r="B73" s="50"/>
      <c r="C73" s="51"/>
      <c r="D73" s="51"/>
      <c r="E73" s="43"/>
      <c r="F73" s="43"/>
      <c r="G73" s="43"/>
      <c r="H73" s="43"/>
      <c r="I73" s="49"/>
      <c r="J73" s="43"/>
      <c r="K73" s="43"/>
      <c r="L73" s="52"/>
      <c r="M73" s="53"/>
      <c r="N73" s="49"/>
      <c r="O73" s="49"/>
    </row>
    <row r="74" ht="15.75" customHeight="1">
      <c r="A74" s="50"/>
      <c r="B74" s="50"/>
      <c r="C74" s="51"/>
      <c r="D74" s="51"/>
      <c r="E74" s="43"/>
      <c r="F74" s="43"/>
      <c r="G74" s="43"/>
      <c r="H74" s="43"/>
      <c r="I74" s="49"/>
      <c r="J74" s="43"/>
      <c r="K74" s="43"/>
      <c r="L74" s="52"/>
      <c r="M74" s="53"/>
      <c r="N74" s="49"/>
      <c r="O74" s="49"/>
    </row>
    <row r="75" ht="15.75" customHeight="1">
      <c r="A75" s="50"/>
      <c r="B75" s="50"/>
      <c r="C75" s="51"/>
      <c r="D75" s="51"/>
      <c r="E75" s="43"/>
      <c r="F75" s="43"/>
      <c r="G75" s="43"/>
      <c r="H75" s="43"/>
      <c r="I75" s="49"/>
      <c r="J75" s="43"/>
      <c r="K75" s="43"/>
      <c r="L75" s="52"/>
      <c r="M75" s="53"/>
      <c r="N75" s="49"/>
      <c r="O75" s="49"/>
    </row>
    <row r="76" ht="15.75" customHeight="1">
      <c r="A76" s="50"/>
      <c r="B76" s="50"/>
      <c r="C76" s="51"/>
      <c r="D76" s="51"/>
      <c r="E76" s="43"/>
      <c r="F76" s="43"/>
      <c r="G76" s="43"/>
      <c r="H76" s="43"/>
      <c r="I76" s="49"/>
      <c r="J76" s="43"/>
      <c r="K76" s="43"/>
      <c r="L76" s="52"/>
      <c r="M76" s="53"/>
      <c r="N76" s="49"/>
      <c r="O76" s="49"/>
    </row>
    <row r="77" ht="15.75" customHeight="1">
      <c r="A77" s="50"/>
      <c r="B77" s="50"/>
      <c r="C77" s="51"/>
      <c r="D77" s="51"/>
      <c r="E77" s="43"/>
      <c r="F77" s="43"/>
      <c r="G77" s="43"/>
      <c r="H77" s="43"/>
      <c r="I77" s="49"/>
      <c r="J77" s="43"/>
      <c r="K77" s="43"/>
      <c r="L77" s="52"/>
      <c r="M77" s="53"/>
      <c r="N77" s="49"/>
      <c r="O77" s="49"/>
    </row>
    <row r="78" ht="15.75" customHeight="1">
      <c r="A78" s="50"/>
      <c r="B78" s="50"/>
      <c r="C78" s="51"/>
      <c r="D78" s="51"/>
      <c r="E78" s="43"/>
      <c r="F78" s="43"/>
      <c r="G78" s="43"/>
      <c r="H78" s="43"/>
      <c r="I78" s="49"/>
      <c r="J78" s="43"/>
      <c r="K78" s="43"/>
      <c r="L78" s="52"/>
      <c r="M78" s="53"/>
      <c r="N78" s="49"/>
      <c r="O78" s="49"/>
    </row>
    <row r="79" ht="15.75" customHeight="1">
      <c r="A79" s="50"/>
      <c r="B79" s="50"/>
      <c r="C79" s="51"/>
      <c r="D79" s="51"/>
      <c r="E79" s="43"/>
      <c r="F79" s="43"/>
      <c r="G79" s="43"/>
      <c r="H79" s="43"/>
      <c r="I79" s="49"/>
      <c r="J79" s="43"/>
      <c r="K79" s="43"/>
      <c r="L79" s="52"/>
      <c r="M79" s="53"/>
      <c r="N79" s="49"/>
      <c r="O79" s="49"/>
    </row>
    <row r="80" ht="15.75" customHeight="1">
      <c r="A80" s="50"/>
      <c r="B80" s="50"/>
      <c r="C80" s="51"/>
      <c r="D80" s="51"/>
      <c r="E80" s="43"/>
      <c r="F80" s="43"/>
      <c r="G80" s="43"/>
      <c r="H80" s="43"/>
      <c r="I80" s="49"/>
      <c r="J80" s="43"/>
      <c r="K80" s="43"/>
      <c r="L80" s="52"/>
      <c r="M80" s="53"/>
      <c r="N80" s="49"/>
      <c r="O80" s="49"/>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M1"/>
  </mergeCells>
  <conditionalFormatting sqref="J14:J43">
    <cfRule type="cellIs" dxfId="3" priority="1" operator="greaterThan">
      <formula>0</formula>
    </cfRule>
  </conditionalFormatting>
  <conditionalFormatting sqref="J14:J80">
    <cfRule type="expression" dxfId="1" priority="2">
      <formula>J14&gt;0</formula>
    </cfRule>
  </conditionalFormatting>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2" width="11.0"/>
    <col customWidth="1" min="3" max="3" width="25.0"/>
    <col customWidth="1" min="4" max="4" width="9.0"/>
    <col customWidth="1" min="5" max="5" width="16.0"/>
    <col customWidth="1" min="6" max="9" width="14.0"/>
    <col customWidth="1" min="10" max="11" width="13.0"/>
    <col customWidth="1" min="12" max="12" width="16.0"/>
  </cols>
  <sheetData>
    <row r="1" ht="30.0" customHeight="1">
      <c r="A1" s="1" t="s">
        <v>132</v>
      </c>
    </row>
    <row r="2">
      <c r="A2" s="3"/>
      <c r="B2" s="3"/>
      <c r="C2" s="3"/>
      <c r="D2" s="3"/>
      <c r="E2" s="3"/>
      <c r="F2" s="3"/>
      <c r="G2" s="3"/>
      <c r="H2" s="3"/>
      <c r="I2" s="3"/>
      <c r="J2" s="3"/>
      <c r="K2" s="3"/>
      <c r="L2" s="3"/>
    </row>
    <row r="3" ht="27.75" customHeight="1">
      <c r="A3" s="5" t="s">
        <v>13</v>
      </c>
      <c r="B3" s="5" t="s">
        <v>10</v>
      </c>
      <c r="C3" s="5" t="s">
        <v>19</v>
      </c>
      <c r="D3" s="5" t="s">
        <v>100</v>
      </c>
      <c r="E3" s="5" t="s">
        <v>133</v>
      </c>
      <c r="F3" s="5" t="s">
        <v>108</v>
      </c>
      <c r="G3" s="5" t="s">
        <v>102</v>
      </c>
      <c r="H3" s="5" t="s">
        <v>97</v>
      </c>
      <c r="I3" s="5" t="s">
        <v>134</v>
      </c>
      <c r="J3" s="5" t="s">
        <v>135</v>
      </c>
      <c r="K3" s="5" t="s">
        <v>136</v>
      </c>
      <c r="L3" s="5" t="s">
        <v>137</v>
      </c>
    </row>
    <row r="4">
      <c r="A4" s="57">
        <v>1.0</v>
      </c>
      <c r="B4" s="22" t="str">
        <f>IF(DANH_MUC_LOP!B4="","",DANH_MUC_LOP!B4)</f>
        <v>L06</v>
      </c>
      <c r="C4" s="22" t="str">
        <f>IF(DANH_MUC_LOP!C4="","",DANH_MUC_LOP!C4)</f>
        <v>Lớp 6 Thầy Cường</v>
      </c>
      <c r="D4" s="22">
        <f>KT_01!$B$9</f>
        <v>18</v>
      </c>
      <c r="E4" s="58">
        <f>KT_01!$B$6</f>
        <v>9</v>
      </c>
      <c r="F4" s="58">
        <f>KT_01!$B$10</f>
        <v>5025000</v>
      </c>
      <c r="G4" s="58">
        <f>KT_01!$B$11</f>
        <v>5025000</v>
      </c>
      <c r="H4" s="58">
        <f>KT_01!$E$4</f>
        <v>0</v>
      </c>
      <c r="I4" s="58">
        <f>IF(B4="",0,SUMIF(LUONG_GIANG_VIEN!$D$4:$D$63,B4,LUONG_GIANG_VIEN!$P$4:$P$63))</f>
        <v>2010000</v>
      </c>
      <c r="J4" s="58">
        <f>KT_01!$E$6</f>
        <v>0</v>
      </c>
      <c r="K4" s="58">
        <f>IF(B4="",0,SUMIFS(THU_CHI!$F$4:$F$123,THU_CHI!$B$4:$B$123,"Chi",THU_CHI!$D$4:$D$123,B4))</f>
        <v>0</v>
      </c>
      <c r="L4" s="58">
        <f t="shared" ref="L4:L15" si="1">IF(B4="","",G4-I4-J4-K4)</f>
        <v>3015000</v>
      </c>
    </row>
    <row r="5">
      <c r="A5" s="57">
        <v>2.0</v>
      </c>
      <c r="B5" s="22" t="str">
        <f>IF(DANH_MUC_LOP!B5="","",DANH_MUC_LOP!B5)</f>
        <v>L07</v>
      </c>
      <c r="C5" s="22" t="str">
        <f>IF(DANH_MUC_LOP!C5="","",DANH_MUC_LOP!C5)</f>
        <v>Toán 7 Thầy Cường</v>
      </c>
      <c r="D5" s="22">
        <f>KT_02!$B$9</f>
        <v>13</v>
      </c>
      <c r="E5" s="58">
        <f>KT_02!$B$6</f>
        <v>8</v>
      </c>
      <c r="F5" s="58">
        <f>KT_02!$B$10</f>
        <v>2600000</v>
      </c>
      <c r="G5" s="58">
        <f>KT_02!$B$11</f>
        <v>2600000</v>
      </c>
      <c r="H5" s="58">
        <f>KT_02!$E$4</f>
        <v>0</v>
      </c>
      <c r="I5" s="58">
        <f>IF(B5="",0,SUMIF(LUONG_GIANG_VIEN!$D$4:$D$63,B5,LUONG_GIANG_VIEN!$P$4:$P$63))</f>
        <v>1040000</v>
      </c>
      <c r="J5" s="58">
        <f>KT_02!$E$6</f>
        <v>0</v>
      </c>
      <c r="K5" s="58">
        <f>IF(B5="",0,SUMIFS(THU_CHI!$F$4:$F$123,THU_CHI!$B$4:$B$123,"Chi",THU_CHI!$D$4:$D$123,B5))</f>
        <v>0</v>
      </c>
      <c r="L5" s="58">
        <f t="shared" si="1"/>
        <v>1560000</v>
      </c>
    </row>
    <row r="6">
      <c r="A6" s="57">
        <v>3.0</v>
      </c>
      <c r="B6" s="22" t="str">
        <f>IF(DANH_MUC_LOP!B6="","",DANH_MUC_LOP!B6)</f>
        <v>L08</v>
      </c>
      <c r="C6" s="22" t="str">
        <f>IF(DANH_MUC_LOP!C6="","",DANH_MUC_LOP!C6)</f>
        <v>Toán 8 Thầy Cường</v>
      </c>
      <c r="D6" s="22">
        <f>KT_03!$B$9</f>
        <v>7</v>
      </c>
      <c r="E6" s="58">
        <f>KT_03!$B$6</f>
        <v>9</v>
      </c>
      <c r="F6" s="58">
        <f>KT_03!$B$10</f>
        <v>2000000</v>
      </c>
      <c r="G6" s="58">
        <f>KT_03!$B$11</f>
        <v>2000000</v>
      </c>
      <c r="H6" s="58">
        <f>KT_03!$E$4</f>
        <v>0</v>
      </c>
      <c r="I6" s="58">
        <f>IF(B6="",0,SUMIF(LUONG_GIANG_VIEN!$D$4:$D$63,B6,LUONG_GIANG_VIEN!$P$4:$P$63))</f>
        <v>800000</v>
      </c>
      <c r="J6" s="58">
        <f>KT_03!$E$6</f>
        <v>0</v>
      </c>
      <c r="K6" s="58">
        <f>IF(B6="",0,SUMIFS(THU_CHI!$F$4:$F$123,THU_CHI!$B$4:$B$123,"Chi",THU_CHI!$D$4:$D$123,B6))</f>
        <v>0</v>
      </c>
      <c r="L6" s="58">
        <f t="shared" si="1"/>
        <v>1200000</v>
      </c>
    </row>
    <row r="7">
      <c r="A7" s="57">
        <v>4.0</v>
      </c>
      <c r="B7" s="22" t="str">
        <f>IF(DANH_MUC_LOP!B7="","",DANH_MUC_LOP!B7)</f>
        <v>L09</v>
      </c>
      <c r="C7" s="22" t="str">
        <f>IF(DANH_MUC_LOP!C7="","",DANH_MUC_LOP!C7)</f>
        <v>Toán 9 Thầy Cường</v>
      </c>
      <c r="D7" s="22">
        <f>KT_04!$B$9</f>
        <v>10</v>
      </c>
      <c r="E7" s="58">
        <f>KT_04!$B$6</f>
        <v>9</v>
      </c>
      <c r="F7" s="58">
        <f>KT_04!$B$10</f>
        <v>4860000</v>
      </c>
      <c r="G7" s="58">
        <f>KT_04!$B$11</f>
        <v>4860000</v>
      </c>
      <c r="H7" s="58">
        <f>KT_04!$E$4</f>
        <v>0</v>
      </c>
      <c r="I7" s="58">
        <f>IF(B7="",0,SUMIF(LUONG_GIANG_VIEN!$D$4:$D$63,B7,LUONG_GIANG_VIEN!$P$4:$P$63))</f>
        <v>1944000</v>
      </c>
      <c r="J7" s="58">
        <f>KT_04!$E$6</f>
        <v>0</v>
      </c>
      <c r="K7" s="58">
        <f>IF(B7="",0,SUMIFS(THU_CHI!$F$4:$F$123,THU_CHI!$B$4:$B$123,"Chi",THU_CHI!$D$4:$D$123,B7))</f>
        <v>0</v>
      </c>
      <c r="L7" s="58">
        <f t="shared" si="1"/>
        <v>2916000</v>
      </c>
    </row>
    <row r="8">
      <c r="A8" s="57">
        <v>5.0</v>
      </c>
      <c r="B8" s="22" t="str">
        <f>IF(DANH_MUC_LOP!B8="","",DANH_MUC_LOP!B8)</f>
        <v/>
      </c>
      <c r="C8" s="22" t="str">
        <f>IF(DANH_MUC_LOP!C8="","",DANH_MUC_LOP!C8)</f>
        <v/>
      </c>
      <c r="D8" s="22">
        <f>KT_05!$B$9</f>
        <v>0</v>
      </c>
      <c r="E8" s="58" t="str">
        <f>KT_05!$B$6</f>
        <v/>
      </c>
      <c r="F8" s="58">
        <f>KT_05!$B$10</f>
        <v>0</v>
      </c>
      <c r="G8" s="58">
        <f>KT_05!$B$11</f>
        <v>0</v>
      </c>
      <c r="H8" s="58">
        <f>KT_05!$E$4</f>
        <v>0</v>
      </c>
      <c r="I8" s="58">
        <f>IF(B8="",0,SUMIF(LUONG_GIANG_VIEN!$D$4:$D$63,B8,LUONG_GIANG_VIEN!$P$4:$P$63))</f>
        <v>0</v>
      </c>
      <c r="J8" s="58">
        <f>KT_05!$E$6</f>
        <v>0</v>
      </c>
      <c r="K8" s="58">
        <f>IF(B8="",0,SUMIFS(THU_CHI!$F$4:$F$123,THU_CHI!$B$4:$B$123,"Chi",THU_CHI!$D$4:$D$123,B8))</f>
        <v>0</v>
      </c>
      <c r="L8" s="58" t="str">
        <f t="shared" si="1"/>
        <v/>
      </c>
    </row>
    <row r="9">
      <c r="A9" s="57">
        <v>6.0</v>
      </c>
      <c r="B9" s="22" t="str">
        <f>IF(DANH_MUC_LOP!B9="","",DANH_MUC_LOP!B9)</f>
        <v/>
      </c>
      <c r="C9" s="22" t="str">
        <f>IF(DANH_MUC_LOP!C9="","",DANH_MUC_LOP!C9)</f>
        <v/>
      </c>
      <c r="D9" s="22">
        <f>KT_06!$B$9</f>
        <v>0</v>
      </c>
      <c r="E9" s="58" t="str">
        <f>KT_06!$B$6</f>
        <v/>
      </c>
      <c r="F9" s="58">
        <f>KT_06!$B$10</f>
        <v>0</v>
      </c>
      <c r="G9" s="58">
        <f>KT_06!$B$11</f>
        <v>0</v>
      </c>
      <c r="H9" s="58">
        <f>KT_06!$E$4</f>
        <v>0</v>
      </c>
      <c r="I9" s="58">
        <f>IF(B9="",0,SUMIF(LUONG_GIANG_VIEN!$D$4:$D$63,B9,LUONG_GIANG_VIEN!$P$4:$P$63))</f>
        <v>0</v>
      </c>
      <c r="J9" s="58">
        <f>KT_06!$E$6</f>
        <v>0</v>
      </c>
      <c r="K9" s="58">
        <f>IF(B9="",0,SUMIFS(THU_CHI!$F$4:$F$123,THU_CHI!$B$4:$B$123,"Chi",THU_CHI!$D$4:$D$123,B9))</f>
        <v>0</v>
      </c>
      <c r="L9" s="58" t="str">
        <f t="shared" si="1"/>
        <v/>
      </c>
    </row>
    <row r="10">
      <c r="A10" s="57">
        <v>7.0</v>
      </c>
      <c r="B10" s="22" t="str">
        <f>IF(DANH_MUC_LOP!B10="","",DANH_MUC_LOP!B10)</f>
        <v/>
      </c>
      <c r="C10" s="22" t="str">
        <f>IF(DANH_MUC_LOP!C10="","",DANH_MUC_LOP!C10)</f>
        <v/>
      </c>
      <c r="D10" s="22">
        <f>KT_07!$B$9</f>
        <v>0</v>
      </c>
      <c r="E10" s="58" t="str">
        <f>KT_07!$B$6</f>
        <v/>
      </c>
      <c r="F10" s="58">
        <f>KT_07!$B$10</f>
        <v>0</v>
      </c>
      <c r="G10" s="58">
        <f>KT_07!$B$11</f>
        <v>0</v>
      </c>
      <c r="H10" s="58">
        <f>KT_07!$E$4</f>
        <v>0</v>
      </c>
      <c r="I10" s="58">
        <f>IF(B10="",0,SUMIF(LUONG_GIANG_VIEN!$D$4:$D$63,B10,LUONG_GIANG_VIEN!$P$4:$P$63))</f>
        <v>0</v>
      </c>
      <c r="J10" s="58">
        <f>KT_07!$E$6</f>
        <v>0</v>
      </c>
      <c r="K10" s="58">
        <f>IF(B10="",0,SUMIFS(THU_CHI!$F$4:$F$123,THU_CHI!$B$4:$B$123,"Chi",THU_CHI!$D$4:$D$123,B10))</f>
        <v>0</v>
      </c>
      <c r="L10" s="58" t="str">
        <f t="shared" si="1"/>
        <v/>
      </c>
    </row>
    <row r="11">
      <c r="A11" s="57">
        <v>8.0</v>
      </c>
      <c r="B11" s="22" t="str">
        <f>IF(DANH_MUC_LOP!B11="","",DANH_MUC_LOP!B11)</f>
        <v/>
      </c>
      <c r="C11" s="22" t="str">
        <f>IF(DANH_MUC_LOP!C11="","",DANH_MUC_LOP!C11)</f>
        <v/>
      </c>
      <c r="D11" s="22">
        <f>KT_08!$B$9</f>
        <v>0</v>
      </c>
      <c r="E11" s="58" t="str">
        <f>KT_08!$B$6</f>
        <v/>
      </c>
      <c r="F11" s="58">
        <f>KT_08!$B$10</f>
        <v>0</v>
      </c>
      <c r="G11" s="58">
        <f>KT_08!$B$11</f>
        <v>0</v>
      </c>
      <c r="H11" s="58">
        <f>KT_08!$E$4</f>
        <v>0</v>
      </c>
      <c r="I11" s="58">
        <f>IF(B11="",0,SUMIF(LUONG_GIANG_VIEN!$D$4:$D$63,B11,LUONG_GIANG_VIEN!$P$4:$P$63))</f>
        <v>0</v>
      </c>
      <c r="J11" s="58">
        <f>KT_08!$E$6</f>
        <v>0</v>
      </c>
      <c r="K11" s="58">
        <f>IF(B11="",0,SUMIFS(THU_CHI!$F$4:$F$123,THU_CHI!$B$4:$B$123,"Chi",THU_CHI!$D$4:$D$123,B11))</f>
        <v>0</v>
      </c>
      <c r="L11" s="58" t="str">
        <f t="shared" si="1"/>
        <v/>
      </c>
    </row>
    <row r="12">
      <c r="A12" s="57">
        <v>9.0</v>
      </c>
      <c r="B12" s="22" t="str">
        <f>IF(DANH_MUC_LOP!B12="","",DANH_MUC_LOP!B12)</f>
        <v/>
      </c>
      <c r="C12" s="22" t="str">
        <f>IF(DANH_MUC_LOP!C12="","",DANH_MUC_LOP!C12)</f>
        <v/>
      </c>
      <c r="D12" s="22">
        <f>KT_09!$B$9</f>
        <v>0</v>
      </c>
      <c r="E12" s="58" t="str">
        <f>KT_09!$B$6</f>
        <v/>
      </c>
      <c r="F12" s="58">
        <f>KT_09!$B$10</f>
        <v>0</v>
      </c>
      <c r="G12" s="58">
        <f>KT_09!$B$11</f>
        <v>0</v>
      </c>
      <c r="H12" s="58">
        <f>KT_09!$E$4</f>
        <v>0</v>
      </c>
      <c r="I12" s="58">
        <f>IF(B12="",0,SUMIF(LUONG_GIANG_VIEN!$D$4:$D$63,B12,LUONG_GIANG_VIEN!$P$4:$P$63))</f>
        <v>0</v>
      </c>
      <c r="J12" s="58">
        <f>KT_09!$E$6</f>
        <v>0</v>
      </c>
      <c r="K12" s="58">
        <f>IF(B12="",0,SUMIFS(THU_CHI!$F$4:$F$123,THU_CHI!$B$4:$B$123,"Chi",THU_CHI!$D$4:$D$123,B12))</f>
        <v>0</v>
      </c>
      <c r="L12" s="58" t="str">
        <f t="shared" si="1"/>
        <v/>
      </c>
    </row>
    <row r="13">
      <c r="A13" s="57">
        <v>10.0</v>
      </c>
      <c r="B13" s="22" t="str">
        <f>IF(DANH_MUC_LOP!B13="","",DANH_MUC_LOP!B13)</f>
        <v/>
      </c>
      <c r="C13" s="22" t="str">
        <f>IF(DANH_MUC_LOP!C13="","",DANH_MUC_LOP!C13)</f>
        <v/>
      </c>
      <c r="D13" s="22">
        <f>KT_10!$B$9</f>
        <v>0</v>
      </c>
      <c r="E13" s="58" t="str">
        <f>KT_10!$B$6</f>
        <v/>
      </c>
      <c r="F13" s="58">
        <f>KT_10!$B$10</f>
        <v>0</v>
      </c>
      <c r="G13" s="58">
        <f>KT_10!$B$11</f>
        <v>0</v>
      </c>
      <c r="H13" s="58">
        <f>KT_10!$E$4</f>
        <v>0</v>
      </c>
      <c r="I13" s="58">
        <f>IF(B13="",0,SUMIF(LUONG_GIANG_VIEN!$D$4:$D$63,B13,LUONG_GIANG_VIEN!$P$4:$P$63))</f>
        <v>0</v>
      </c>
      <c r="J13" s="58">
        <f>KT_10!$E$6</f>
        <v>0</v>
      </c>
      <c r="K13" s="58">
        <f>IF(B13="",0,SUMIFS(THU_CHI!$F$4:$F$123,THU_CHI!$B$4:$B$123,"Chi",THU_CHI!$D$4:$D$123,B13))</f>
        <v>0</v>
      </c>
      <c r="L13" s="58" t="str">
        <f t="shared" si="1"/>
        <v/>
      </c>
    </row>
    <row r="14">
      <c r="A14" s="57">
        <v>11.0</v>
      </c>
      <c r="B14" s="22" t="str">
        <f>IF(DANH_MUC_LOP!B14="","",DANH_MUC_LOP!B14)</f>
        <v/>
      </c>
      <c r="C14" s="22" t="str">
        <f>IF(DANH_MUC_LOP!C14="","",DANH_MUC_LOP!C14)</f>
        <v/>
      </c>
      <c r="D14" s="22">
        <f>KT_11!$B$9</f>
        <v>0</v>
      </c>
      <c r="E14" s="58" t="str">
        <f>KT_11!$B$6</f>
        <v/>
      </c>
      <c r="F14" s="58">
        <f>KT_11!$B$10</f>
        <v>0</v>
      </c>
      <c r="G14" s="58">
        <f>KT_11!$B$11</f>
        <v>0</v>
      </c>
      <c r="H14" s="58">
        <f>KT_11!$E$4</f>
        <v>0</v>
      </c>
      <c r="I14" s="58">
        <f>IF(B14="",0,SUMIF(LUONG_GIANG_VIEN!$D$4:$D$63,B14,LUONG_GIANG_VIEN!$P$4:$P$63))</f>
        <v>0</v>
      </c>
      <c r="J14" s="58">
        <f>KT_11!$E$6</f>
        <v>0</v>
      </c>
      <c r="K14" s="58">
        <f>IF(B14="",0,SUMIFS(THU_CHI!$F$4:$F$123,THU_CHI!$B$4:$B$123,"Chi",THU_CHI!$D$4:$D$123,B14))</f>
        <v>0</v>
      </c>
      <c r="L14" s="58" t="str">
        <f t="shared" si="1"/>
        <v/>
      </c>
    </row>
    <row r="15">
      <c r="A15" s="57">
        <v>12.0</v>
      </c>
      <c r="B15" s="22" t="str">
        <f>IF(DANH_MUC_LOP!B15="","",DANH_MUC_LOP!B15)</f>
        <v/>
      </c>
      <c r="C15" s="22" t="str">
        <f>IF(DANH_MUC_LOP!C15="","",DANH_MUC_LOP!C15)</f>
        <v/>
      </c>
      <c r="D15" s="22">
        <f>KT_12!$B$9</f>
        <v>0</v>
      </c>
      <c r="E15" s="58" t="str">
        <f>KT_12!$B$6</f>
        <v/>
      </c>
      <c r="F15" s="58">
        <f>KT_12!$B$10</f>
        <v>0</v>
      </c>
      <c r="G15" s="58">
        <f>KT_12!$B$11</f>
        <v>0</v>
      </c>
      <c r="H15" s="58">
        <f>KT_12!$E$4</f>
        <v>0</v>
      </c>
      <c r="I15" s="58">
        <f>IF(B15="",0,SUMIF(LUONG_GIANG_VIEN!$D$4:$D$63,B15,LUONG_GIANG_VIEN!$P$4:$P$63))</f>
        <v>0</v>
      </c>
      <c r="J15" s="58">
        <f>KT_12!$E$6</f>
        <v>0</v>
      </c>
      <c r="K15" s="58">
        <f>IF(B15="",0,SUMIFS(THU_CHI!$F$4:$F$123,THU_CHI!$B$4:$B$123,"Chi",THU_CHI!$D$4:$D$123,B15))</f>
        <v>0</v>
      </c>
      <c r="L15" s="58" t="str">
        <f t="shared" si="1"/>
        <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L1"/>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0"/>
    <col customWidth="1" min="2" max="2" width="18.0"/>
    <col customWidth="1" min="3" max="3" width="4.0"/>
    <col customWidth="1" min="4" max="4" width="25.0"/>
    <col customWidth="1" min="5" max="5" width="12.0"/>
    <col customWidth="1" min="6" max="6" width="18.0"/>
  </cols>
  <sheetData>
    <row r="1" ht="30.0" customHeight="1">
      <c r="A1" s="1" t="s">
        <v>138</v>
      </c>
    </row>
    <row r="2">
      <c r="A2" s="3"/>
      <c r="B2" s="3"/>
      <c r="C2" s="3"/>
      <c r="D2" s="3"/>
      <c r="E2" s="3"/>
      <c r="F2" s="3"/>
    </row>
    <row r="3">
      <c r="A3" s="4" t="s">
        <v>95</v>
      </c>
      <c r="B3" s="4" t="s">
        <v>6</v>
      </c>
      <c r="C3" s="3"/>
      <c r="D3" s="4" t="s">
        <v>139</v>
      </c>
      <c r="E3" s="4" t="s">
        <v>140</v>
      </c>
      <c r="F3" s="4" t="s">
        <v>12</v>
      </c>
    </row>
    <row r="4">
      <c r="A4" s="8" t="s">
        <v>141</v>
      </c>
      <c r="B4" s="41">
        <f>SUM(TONG_HOP_LOP!G4:G15)</f>
        <v>14485000</v>
      </c>
      <c r="C4" s="3"/>
      <c r="D4" s="44" t="s">
        <v>46</v>
      </c>
      <c r="E4" s="59">
        <f>DIEU_KHIEN!B7</f>
        <v>0.5</v>
      </c>
      <c r="F4" s="60">
        <f>$B$16*$E$4</f>
        <v>1089045.9</v>
      </c>
    </row>
    <row r="5">
      <c r="A5" s="8" t="s">
        <v>142</v>
      </c>
      <c r="B5" s="41">
        <f>SUMIFS(THU_CHI!$F$4:$F$123,THU_CHI!$B$4:$B$123,"Thu")</f>
        <v>0</v>
      </c>
      <c r="C5" s="3"/>
      <c r="D5" s="44" t="s">
        <v>48</v>
      </c>
      <c r="E5" s="59">
        <f>DIEU_KHIEN!B8</f>
        <v>0.5</v>
      </c>
      <c r="F5" s="60">
        <f>$B$16*$E$5</f>
        <v>1089045.9</v>
      </c>
    </row>
    <row r="6">
      <c r="A6" s="8" t="s">
        <v>143</v>
      </c>
      <c r="B6" s="41">
        <f>B4+B5</f>
        <v>14485000</v>
      </c>
      <c r="C6" s="3"/>
      <c r="D6" s="3"/>
      <c r="E6" s="3"/>
      <c r="F6" s="3"/>
    </row>
    <row r="7">
      <c r="A7" s="8" t="s">
        <v>144</v>
      </c>
      <c r="B7" s="41">
        <f>SUM(LUONG_GIANG_VIEN!P4:P63)</f>
        <v>5794000</v>
      </c>
      <c r="C7" s="3"/>
      <c r="D7" s="3"/>
      <c r="E7" s="3"/>
      <c r="F7" s="3"/>
    </row>
    <row r="8">
      <c r="A8" s="8" t="s">
        <v>145</v>
      </c>
      <c r="B8" s="41">
        <f>SUM(THUONG_HOC_SINH!D4:D83)</f>
        <v>0</v>
      </c>
      <c r="C8" s="3"/>
      <c r="D8" s="3"/>
      <c r="E8" s="3"/>
      <c r="F8" s="3"/>
    </row>
    <row r="9">
      <c r="A9" s="8" t="s">
        <v>146</v>
      </c>
      <c r="B9" s="41">
        <f>SUMIFS(THU_CHI!$F$4:$F$123,THU_CHI!$B$4:$B$123,"Chi")</f>
        <v>6270898</v>
      </c>
      <c r="C9" s="3"/>
      <c r="D9" s="3"/>
      <c r="E9" s="3"/>
      <c r="F9" s="3"/>
    </row>
    <row r="10">
      <c r="A10" s="8" t="s">
        <v>147</v>
      </c>
      <c r="B10" s="41">
        <f>B6-B7-B8-B9</f>
        <v>2420102</v>
      </c>
      <c r="C10" s="3"/>
      <c r="D10" s="3"/>
      <c r="E10" s="3"/>
      <c r="F10" s="3"/>
    </row>
    <row r="11">
      <c r="A11" s="8" t="s">
        <v>39</v>
      </c>
      <c r="B11" s="61">
        <f>DIEU_KHIEN!B5</f>
        <v>0.1</v>
      </c>
      <c r="C11" s="3"/>
      <c r="D11" s="3"/>
      <c r="E11" s="3"/>
      <c r="F11" s="3"/>
    </row>
    <row r="12">
      <c r="A12" s="8" t="s">
        <v>148</v>
      </c>
      <c r="B12" s="41">
        <f>MAX(0,B10*B11)</f>
        <v>242010.2</v>
      </c>
      <c r="C12" s="3"/>
      <c r="D12" s="3"/>
      <c r="E12" s="3"/>
      <c r="F12" s="3"/>
    </row>
    <row r="13">
      <c r="A13" s="8" t="s">
        <v>51</v>
      </c>
      <c r="B13" s="41">
        <f>DIEU_KHIEN!B9</f>
        <v>0</v>
      </c>
      <c r="C13" s="3"/>
      <c r="D13" s="3"/>
      <c r="E13" s="3"/>
      <c r="F13" s="3"/>
    </row>
    <row r="14">
      <c r="A14" s="8" t="s">
        <v>54</v>
      </c>
      <c r="B14" s="41">
        <f>DIEU_KHIEN!B10</f>
        <v>0</v>
      </c>
      <c r="C14" s="3"/>
      <c r="D14" s="3"/>
      <c r="E14" s="3"/>
      <c r="F14" s="3"/>
    </row>
    <row r="15">
      <c r="A15" s="8" t="s">
        <v>149</v>
      </c>
      <c r="B15" s="41">
        <f>MAX(0,B13+B12-B14)</f>
        <v>242010.2</v>
      </c>
      <c r="C15" s="3"/>
      <c r="D15" s="3"/>
      <c r="E15" s="3"/>
      <c r="F15" s="3"/>
    </row>
    <row r="16">
      <c r="A16" s="62" t="s">
        <v>150</v>
      </c>
      <c r="B16" s="60">
        <f>MAX(0,B10-B12)</f>
        <v>2178091.8</v>
      </c>
      <c r="C16" s="3"/>
      <c r="D16" s="3"/>
      <c r="E16" s="3"/>
      <c r="F16"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26.0"/>
    <col customWidth="1" min="3" max="3" width="10.0"/>
    <col customWidth="1" min="4" max="5" width="15.0"/>
    <col customWidth="1" min="6" max="6" width="18.0"/>
  </cols>
  <sheetData>
    <row r="1" ht="30.0" customHeight="1">
      <c r="A1" s="1" t="s">
        <v>198</v>
      </c>
    </row>
    <row r="2">
      <c r="A2" s="3"/>
      <c r="B2" s="3"/>
      <c r="C2" s="3"/>
      <c r="D2" s="3"/>
      <c r="E2" s="3"/>
      <c r="F2" s="3"/>
    </row>
    <row r="3">
      <c r="A3" s="4" t="s">
        <v>200</v>
      </c>
      <c r="B3" s="4" t="s">
        <v>6</v>
      </c>
      <c r="C3" s="3"/>
      <c r="D3" s="4" t="s">
        <v>139</v>
      </c>
      <c r="E3" s="4" t="s">
        <v>140</v>
      </c>
      <c r="F3" s="4" t="s">
        <v>12</v>
      </c>
    </row>
    <row r="4">
      <c r="A4" s="8" t="s">
        <v>76</v>
      </c>
      <c r="B4" s="69">
        <f>DIEU_KHIEN!B4</f>
        <v>46235</v>
      </c>
      <c r="C4" s="3"/>
      <c r="D4" s="8" t="s">
        <v>46</v>
      </c>
      <c r="E4" s="59">
        <f>DIEU_KHIEN!B7</f>
        <v>0.5</v>
      </c>
      <c r="F4" s="60">
        <f>QUY_CHIA!F4</f>
        <v>1089045.9</v>
      </c>
    </row>
    <row r="5">
      <c r="A5" s="8" t="s">
        <v>101</v>
      </c>
      <c r="B5" s="70">
        <f>SUM(TONG_HOP_LOP!F4:F15)</f>
        <v>14485000</v>
      </c>
      <c r="C5" s="3"/>
      <c r="D5" s="8" t="s">
        <v>48</v>
      </c>
      <c r="E5" s="59">
        <f>DIEU_KHIEN!B8</f>
        <v>0.5</v>
      </c>
      <c r="F5" s="60">
        <f>QUY_CHIA!F5</f>
        <v>1089045.9</v>
      </c>
    </row>
    <row r="6">
      <c r="A6" s="8" t="s">
        <v>208</v>
      </c>
      <c r="B6" s="70">
        <f>SUM(TONG_HOP_LOP!G4:G15)</f>
        <v>14485000</v>
      </c>
      <c r="C6" s="3"/>
      <c r="D6" s="3"/>
      <c r="E6" s="3"/>
      <c r="F6" s="3"/>
    </row>
    <row r="7">
      <c r="A7" s="8" t="s">
        <v>97</v>
      </c>
      <c r="B7" s="70">
        <f>SUM(TONG_HOP_LOP!H4:H15)</f>
        <v>0</v>
      </c>
      <c r="C7" s="3"/>
      <c r="D7" s="3"/>
      <c r="E7" s="3"/>
      <c r="F7" s="3"/>
    </row>
    <row r="8">
      <c r="A8" s="8" t="s">
        <v>144</v>
      </c>
      <c r="B8" s="70">
        <f>SUM(LUONG_GIANG_VIEN!P4:P63)</f>
        <v>5794000</v>
      </c>
      <c r="C8" s="3"/>
      <c r="D8" s="3"/>
      <c r="E8" s="3"/>
      <c r="F8" s="3"/>
    </row>
    <row r="9">
      <c r="A9" s="8" t="s">
        <v>145</v>
      </c>
      <c r="B9" s="70">
        <f>SUM(THUONG_HOC_SINH!D4:D83)</f>
        <v>0</v>
      </c>
      <c r="C9" s="3"/>
      <c r="D9" s="3"/>
      <c r="E9" s="3"/>
      <c r="F9" s="3"/>
    </row>
    <row r="10">
      <c r="A10" s="8" t="s">
        <v>211</v>
      </c>
      <c r="B10" s="70">
        <f>QUY_CHIA!B12</f>
        <v>242010.2</v>
      </c>
      <c r="C10" s="3"/>
      <c r="D10" s="3"/>
      <c r="E10" s="3"/>
      <c r="F10" s="3"/>
    </row>
    <row r="11">
      <c r="A11" s="8" t="s">
        <v>150</v>
      </c>
      <c r="B11" s="70">
        <f>QUY_CHIA!B16</f>
        <v>2178091.8</v>
      </c>
      <c r="C11" s="3"/>
      <c r="D11" s="3"/>
      <c r="E11" s="3"/>
      <c r="F11" s="3"/>
    </row>
    <row r="12">
      <c r="A12" s="3"/>
      <c r="B12" s="3"/>
      <c r="C12" s="3"/>
      <c r="D12" s="3"/>
      <c r="E12" s="3"/>
      <c r="F12" s="3"/>
    </row>
    <row r="13">
      <c r="A13" s="3"/>
      <c r="B13" s="3"/>
      <c r="C13" s="3"/>
      <c r="D13" s="3"/>
      <c r="E13" s="3"/>
      <c r="F13" s="3"/>
    </row>
    <row r="14" ht="27.75" customHeight="1">
      <c r="A14" s="5" t="s">
        <v>10</v>
      </c>
      <c r="B14" s="5" t="s">
        <v>19</v>
      </c>
      <c r="C14" s="5" t="s">
        <v>100</v>
      </c>
      <c r="D14" s="5" t="s">
        <v>102</v>
      </c>
      <c r="E14" s="5" t="s">
        <v>97</v>
      </c>
      <c r="F14" s="5" t="s">
        <v>137</v>
      </c>
    </row>
    <row r="15">
      <c r="A15" s="44" t="str">
        <f>IF(TONG_HOP_LOP!B4="","",TONG_HOP_LOP!B4)</f>
        <v>L06</v>
      </c>
      <c r="B15" s="44" t="str">
        <f>IF(TONG_HOP_LOP!C4="","",TONG_HOP_LOP!C4)</f>
        <v>Lớp 6 Thầy Cường</v>
      </c>
      <c r="C15" s="73">
        <f>TONG_HOP_LOP!D4</f>
        <v>18</v>
      </c>
      <c r="D15" s="75">
        <f>TONG_HOP_LOP!G4</f>
        <v>5025000</v>
      </c>
      <c r="E15" s="75">
        <f>TONG_HOP_LOP!H4</f>
        <v>0</v>
      </c>
      <c r="F15" s="75">
        <f>TONG_HOP_LOP!L4</f>
        <v>3015000</v>
      </c>
    </row>
    <row r="16">
      <c r="A16" s="44" t="str">
        <f>IF(TONG_HOP_LOP!B5="","",TONG_HOP_LOP!B5)</f>
        <v>L07</v>
      </c>
      <c r="B16" s="44" t="str">
        <f>IF(TONG_HOP_LOP!C5="","",TONG_HOP_LOP!C5)</f>
        <v>Toán 7 Thầy Cường</v>
      </c>
      <c r="C16" s="73">
        <f>TONG_HOP_LOP!D5</f>
        <v>13</v>
      </c>
      <c r="D16" s="75">
        <f>TONG_HOP_LOP!G5</f>
        <v>2600000</v>
      </c>
      <c r="E16" s="75">
        <f>TONG_HOP_LOP!H5</f>
        <v>0</v>
      </c>
      <c r="F16" s="75">
        <f>TONG_HOP_LOP!L5</f>
        <v>1560000</v>
      </c>
    </row>
    <row r="17">
      <c r="A17" s="44" t="str">
        <f>IF(TONG_HOP_LOP!B6="","",TONG_HOP_LOP!B6)</f>
        <v>L08</v>
      </c>
      <c r="B17" s="44" t="str">
        <f>IF(TONG_HOP_LOP!C6="","",TONG_HOP_LOP!C6)</f>
        <v>Toán 8 Thầy Cường</v>
      </c>
      <c r="C17" s="73">
        <f>TONG_HOP_LOP!D6</f>
        <v>7</v>
      </c>
      <c r="D17" s="75">
        <f>TONG_HOP_LOP!G6</f>
        <v>2000000</v>
      </c>
      <c r="E17" s="75">
        <f>TONG_HOP_LOP!H6</f>
        <v>0</v>
      </c>
      <c r="F17" s="75">
        <f>TONG_HOP_LOP!L6</f>
        <v>1200000</v>
      </c>
    </row>
    <row r="18">
      <c r="A18" s="44" t="str">
        <f>IF(TONG_HOP_LOP!B7="","",TONG_HOP_LOP!B7)</f>
        <v>L09</v>
      </c>
      <c r="B18" s="44" t="str">
        <f>IF(TONG_HOP_LOP!C7="","",TONG_HOP_LOP!C7)</f>
        <v>Toán 9 Thầy Cường</v>
      </c>
      <c r="C18" s="73">
        <f>TONG_HOP_LOP!D7</f>
        <v>10</v>
      </c>
      <c r="D18" s="75">
        <f>TONG_HOP_LOP!G7</f>
        <v>4860000</v>
      </c>
      <c r="E18" s="75">
        <f>TONG_HOP_LOP!H7</f>
        <v>0</v>
      </c>
      <c r="F18" s="75">
        <f>TONG_HOP_LOP!L7</f>
        <v>2916000</v>
      </c>
    </row>
    <row r="19">
      <c r="A19" s="44" t="str">
        <f>IF(TONG_HOP_LOP!B8="","",TONG_HOP_LOP!B8)</f>
        <v/>
      </c>
      <c r="B19" s="44" t="str">
        <f>IF(TONG_HOP_LOP!C8="","",TONG_HOP_LOP!C8)</f>
        <v/>
      </c>
      <c r="C19" s="73">
        <f>TONG_HOP_LOP!D8</f>
        <v>0</v>
      </c>
      <c r="D19" s="75">
        <f>TONG_HOP_LOP!G8</f>
        <v>0</v>
      </c>
      <c r="E19" s="75">
        <f>TONG_HOP_LOP!H8</f>
        <v>0</v>
      </c>
      <c r="F19" s="75" t="str">
        <f>TONG_HOP_LOP!L8</f>
        <v/>
      </c>
    </row>
    <row r="20">
      <c r="A20" s="44" t="str">
        <f>IF(TONG_HOP_LOP!B9="","",TONG_HOP_LOP!B9)</f>
        <v/>
      </c>
      <c r="B20" s="44" t="str">
        <f>IF(TONG_HOP_LOP!C9="","",TONG_HOP_LOP!C9)</f>
        <v/>
      </c>
      <c r="C20" s="73">
        <f>TONG_HOP_LOP!D9</f>
        <v>0</v>
      </c>
      <c r="D20" s="75">
        <f>TONG_HOP_LOP!G9</f>
        <v>0</v>
      </c>
      <c r="E20" s="75">
        <f>TONG_HOP_LOP!H9</f>
        <v>0</v>
      </c>
      <c r="F20" s="75" t="str">
        <f>TONG_HOP_LOP!L9</f>
        <v/>
      </c>
    </row>
    <row r="21" ht="15.75" customHeight="1">
      <c r="A21" s="44" t="str">
        <f>IF(TONG_HOP_LOP!B10="","",TONG_HOP_LOP!B10)</f>
        <v/>
      </c>
      <c r="B21" s="44" t="str">
        <f>IF(TONG_HOP_LOP!C10="","",TONG_HOP_LOP!C10)</f>
        <v/>
      </c>
      <c r="C21" s="73">
        <f>TONG_HOP_LOP!D10</f>
        <v>0</v>
      </c>
      <c r="D21" s="75">
        <f>TONG_HOP_LOP!G10</f>
        <v>0</v>
      </c>
      <c r="E21" s="75">
        <f>TONG_HOP_LOP!H10</f>
        <v>0</v>
      </c>
      <c r="F21" s="75" t="str">
        <f>TONG_HOP_LOP!L10</f>
        <v/>
      </c>
    </row>
    <row r="22" ht="15.75" customHeight="1">
      <c r="A22" s="44" t="str">
        <f>IF(TONG_HOP_LOP!B11="","",TONG_HOP_LOP!B11)</f>
        <v/>
      </c>
      <c r="B22" s="44" t="str">
        <f>IF(TONG_HOP_LOP!C11="","",TONG_HOP_LOP!C11)</f>
        <v/>
      </c>
      <c r="C22" s="73">
        <f>TONG_HOP_LOP!D11</f>
        <v>0</v>
      </c>
      <c r="D22" s="75">
        <f>TONG_HOP_LOP!G11</f>
        <v>0</v>
      </c>
      <c r="E22" s="75">
        <f>TONG_HOP_LOP!H11</f>
        <v>0</v>
      </c>
      <c r="F22" s="75" t="str">
        <f>TONG_HOP_LOP!L11</f>
        <v/>
      </c>
    </row>
    <row r="23" ht="15.75" customHeight="1">
      <c r="A23" s="44" t="str">
        <f>IF(TONG_HOP_LOP!B12="","",TONG_HOP_LOP!B12)</f>
        <v/>
      </c>
      <c r="B23" s="44" t="str">
        <f>IF(TONG_HOP_LOP!C12="","",TONG_HOP_LOP!C12)</f>
        <v/>
      </c>
      <c r="C23" s="73">
        <f>TONG_HOP_LOP!D12</f>
        <v>0</v>
      </c>
      <c r="D23" s="75">
        <f>TONG_HOP_LOP!G12</f>
        <v>0</v>
      </c>
      <c r="E23" s="75">
        <f>TONG_HOP_LOP!H12</f>
        <v>0</v>
      </c>
      <c r="F23" s="75" t="str">
        <f>TONG_HOP_LOP!L12</f>
        <v/>
      </c>
    </row>
    <row r="24" ht="15.75" customHeight="1">
      <c r="A24" s="44" t="str">
        <f>IF(TONG_HOP_LOP!B13="","",TONG_HOP_LOP!B13)</f>
        <v/>
      </c>
      <c r="B24" s="44" t="str">
        <f>IF(TONG_HOP_LOP!C13="","",TONG_HOP_LOP!C13)</f>
        <v/>
      </c>
      <c r="C24" s="73">
        <f>TONG_HOP_LOP!D13</f>
        <v>0</v>
      </c>
      <c r="D24" s="75">
        <f>TONG_HOP_LOP!G13</f>
        <v>0</v>
      </c>
      <c r="E24" s="75">
        <f>TONG_HOP_LOP!H13</f>
        <v>0</v>
      </c>
      <c r="F24" s="75" t="str">
        <f>TONG_HOP_LOP!L13</f>
        <v/>
      </c>
    </row>
    <row r="25" ht="15.75" customHeight="1">
      <c r="A25" s="44" t="str">
        <f>IF(TONG_HOP_LOP!B14="","",TONG_HOP_LOP!B14)</f>
        <v/>
      </c>
      <c r="B25" s="44" t="str">
        <f>IF(TONG_HOP_LOP!C14="","",TONG_HOP_LOP!C14)</f>
        <v/>
      </c>
      <c r="C25" s="73">
        <f>TONG_HOP_LOP!D14</f>
        <v>0</v>
      </c>
      <c r="D25" s="75">
        <f>TONG_HOP_LOP!G14</f>
        <v>0</v>
      </c>
      <c r="E25" s="75">
        <f>TONG_HOP_LOP!H14</f>
        <v>0</v>
      </c>
      <c r="F25" s="75" t="str">
        <f>TONG_HOP_LOP!L14</f>
        <v/>
      </c>
    </row>
    <row r="26" ht="15.75" customHeight="1">
      <c r="A26" s="44" t="str">
        <f>IF(TONG_HOP_LOP!B15="","",TONG_HOP_LOP!B15)</f>
        <v/>
      </c>
      <c r="B26" s="44" t="str">
        <f>IF(TONG_HOP_LOP!C15="","",TONG_HOP_LOP!C15)</f>
        <v/>
      </c>
      <c r="C26" s="73">
        <f>TONG_HOP_LOP!D15</f>
        <v>0</v>
      </c>
      <c r="D26" s="75">
        <f>TONG_HOP_LOP!G15</f>
        <v>0</v>
      </c>
      <c r="E26" s="75">
        <f>TONG_HOP_LOP!H15</f>
        <v>0</v>
      </c>
      <c r="F26" s="75" t="str">
        <f>TONG_HOP_LOP!L15</f>
        <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conditionalFormatting sqref="E15:E26">
    <cfRule type="expression" dxfId="1" priority="1">
      <formula>E15&gt;0</formula>
    </cfRule>
  </conditionalFormatting>
  <conditionalFormatting sqref="F15:F26">
    <cfRule type="expression" dxfId="0" priority="2">
      <formula>AND($A15&lt;&gt;"",F15&gt;0)</formula>
    </cfRule>
  </conditionalFormatting>
  <conditionalFormatting sqref="A15:F26">
    <cfRule type="expression" dxfId="4" priority="3">
      <formula>$A15=""</formula>
    </cfRule>
  </conditionalFormatting>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4.0"/>
    <col customWidth="1" min="3" max="3" width="38.0"/>
    <col customWidth="1" min="4" max="4" width="34.0"/>
    <col customWidth="1" min="5" max="26" width="8.63"/>
  </cols>
  <sheetData>
    <row r="1" ht="30.0" customHeight="1">
      <c r="A1" s="63" t="s">
        <v>151</v>
      </c>
    </row>
    <row r="2">
      <c r="A2" s="14"/>
      <c r="B2" s="14"/>
      <c r="C2" s="14"/>
      <c r="D2" s="14"/>
    </row>
    <row r="3" ht="27.75" customHeight="1">
      <c r="A3" s="5" t="s">
        <v>152</v>
      </c>
      <c r="B3" s="5" t="s">
        <v>153</v>
      </c>
      <c r="C3" s="5" t="s">
        <v>154</v>
      </c>
      <c r="D3" s="5" t="s">
        <v>155</v>
      </c>
    </row>
    <row r="4">
      <c r="A4" s="14" t="s">
        <v>156</v>
      </c>
      <c r="B4" s="14" t="str">
        <f>IFERROR(LOP_01!$A$21,"LỖI LIÊN KẾT")</f>
        <v>HS06-001</v>
      </c>
      <c r="C4" s="14" t="s">
        <v>157</v>
      </c>
      <c r="D4" s="14" t="s">
        <v>158</v>
      </c>
    </row>
    <row r="5">
      <c r="A5" s="14" t="s">
        <v>159</v>
      </c>
      <c r="B5" s="14" t="str">
        <f>IFERROR(PHAN_CONG!$B$4,"LỖI LIÊN KẾT")</f>
        <v>GV001</v>
      </c>
      <c r="C5" s="14" t="s">
        <v>161</v>
      </c>
      <c r="D5" s="14" t="s">
        <v>162</v>
      </c>
    </row>
    <row r="6">
      <c r="A6" s="14" t="s">
        <v>163</v>
      </c>
      <c r="B6" s="31">
        <f>DIEU_KHIEN!B4</f>
        <v>46235</v>
      </c>
      <c r="C6" s="14" t="s">
        <v>166</v>
      </c>
      <c r="D6" s="14" t="s">
        <v>167</v>
      </c>
    </row>
    <row r="7">
      <c r="A7" s="14" t="s">
        <v>33</v>
      </c>
      <c r="B7" s="14" t="str">
        <f>IF(OR(B4="LỖI LIÊN KẾT",B5="LỖI LIÊN KẾT",B5=""),"CẦN UPDATE LINK","OK")</f>
        <v>OK</v>
      </c>
      <c r="C7" s="14"/>
      <c r="D7" s="14" t="s">
        <v>175</v>
      </c>
    </row>
    <row r="8">
      <c r="A8" s="14"/>
      <c r="B8" s="14"/>
      <c r="C8" s="14"/>
      <c r="D8" s="14"/>
    </row>
    <row r="9">
      <c r="A9" s="66" t="s">
        <v>179</v>
      </c>
      <c r="B9" s="66"/>
      <c r="C9" s="66"/>
      <c r="D9" s="66"/>
    </row>
    <row r="10">
      <c r="A10" s="14" t="s">
        <v>168</v>
      </c>
      <c r="B10" s="14" t="s">
        <v>184</v>
      </c>
      <c r="C10" s="14"/>
      <c r="D10" s="14"/>
    </row>
    <row r="11">
      <c r="A11" s="14" t="s">
        <v>170</v>
      </c>
      <c r="B11" s="14" t="s">
        <v>185</v>
      </c>
      <c r="C11" s="14"/>
      <c r="D11" s="14"/>
    </row>
    <row r="12">
      <c r="A12" s="65"/>
      <c r="B12" s="65"/>
      <c r="C12" s="65"/>
      <c r="D12" s="65"/>
    </row>
    <row r="13">
      <c r="A13" s="65"/>
      <c r="B13" s="65"/>
      <c r="C13" s="65"/>
      <c r="D13" s="65"/>
    </row>
    <row r="14">
      <c r="A14" s="65"/>
      <c r="B14" s="65"/>
      <c r="C14" s="65"/>
      <c r="D14" s="65"/>
    </row>
    <row r="15">
      <c r="A15" s="65"/>
      <c r="B15" s="65"/>
      <c r="C15" s="65"/>
      <c r="D15" s="65"/>
    </row>
    <row r="16">
      <c r="A16" s="65"/>
      <c r="B16" s="65"/>
      <c r="C16" s="65"/>
      <c r="D16" s="65"/>
    </row>
    <row r="17">
      <c r="A17" s="65"/>
      <c r="B17" s="65"/>
      <c r="C17" s="65"/>
      <c r="D17" s="65"/>
    </row>
    <row r="18">
      <c r="A18" s="65"/>
      <c r="B18" s="65"/>
      <c r="C18" s="65"/>
      <c r="D18" s="65"/>
    </row>
    <row r="19">
      <c r="A19" s="65"/>
      <c r="B19" s="65"/>
      <c r="C19" s="65"/>
      <c r="D19" s="65"/>
    </row>
    <row r="20">
      <c r="A20" s="65"/>
      <c r="B20" s="65"/>
      <c r="C20" s="65"/>
      <c r="D20" s="65"/>
    </row>
    <row r="21" ht="15.75" customHeight="1">
      <c r="A21" s="65"/>
      <c r="B21" s="65"/>
      <c r="C21" s="65"/>
      <c r="D21" s="65"/>
    </row>
    <row r="22" ht="15.75" customHeight="1">
      <c r="A22" s="65"/>
      <c r="B22" s="65"/>
      <c r="C22" s="65"/>
      <c r="D22" s="65"/>
    </row>
    <row r="23" ht="15.75" customHeight="1">
      <c r="A23" s="65"/>
      <c r="B23" s="65"/>
      <c r="C23" s="65"/>
      <c r="D23" s="65"/>
    </row>
    <row r="24" ht="15.75" customHeight="1">
      <c r="A24" s="65"/>
      <c r="B24" s="65"/>
      <c r="C24" s="65"/>
      <c r="D24" s="65"/>
    </row>
    <row r="25" ht="15.75" customHeight="1">
      <c r="A25" s="65"/>
      <c r="B25" s="65"/>
      <c r="C25" s="65"/>
      <c r="D25" s="65"/>
    </row>
    <row r="26" ht="15.75" customHeight="1">
      <c r="A26" s="65"/>
      <c r="B26" s="65"/>
      <c r="C26" s="65"/>
      <c r="D26" s="65"/>
    </row>
    <row r="27" ht="15.75" customHeight="1">
      <c r="A27" s="65"/>
      <c r="B27" s="65"/>
      <c r="C27" s="65"/>
      <c r="D27" s="65"/>
    </row>
    <row r="28" ht="15.75" customHeight="1">
      <c r="A28" s="65"/>
      <c r="B28" s="65"/>
      <c r="C28" s="65"/>
      <c r="D28" s="65"/>
    </row>
    <row r="29" ht="15.75" customHeight="1">
      <c r="A29" s="65"/>
      <c r="B29" s="65"/>
      <c r="C29" s="65"/>
      <c r="D29" s="65"/>
    </row>
    <row r="30" ht="15.75" customHeight="1">
      <c r="A30" s="65"/>
      <c r="B30" s="65"/>
      <c r="C30" s="65"/>
      <c r="D30" s="6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conditionalFormatting sqref="D4:D30">
    <cfRule type="expression" dxfId="0" priority="1">
      <formula>OR(D4="OK",D4="PASS",D4="Đạt")</formula>
    </cfRule>
  </conditionalFormatting>
  <conditionalFormatting sqref="D4:D30">
    <cfRule type="expression" dxfId="1" priority="2">
      <formula>OR(D4="LỖI",D4="FAIL",D4="Cần kiểm tra")</formula>
    </cfRule>
  </conditionalFormatting>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70.0"/>
    <col customWidth="1" min="3" max="26" width="8.63"/>
  </cols>
  <sheetData>
    <row r="1" ht="30.0" customHeight="1">
      <c r="A1" s="64" t="s">
        <v>160</v>
      </c>
    </row>
    <row r="2">
      <c r="A2" s="3"/>
      <c r="B2" s="3"/>
    </row>
    <row r="3">
      <c r="A3" s="4" t="s">
        <v>164</v>
      </c>
      <c r="B3" s="4" t="s">
        <v>165</v>
      </c>
      <c r="C3" s="6"/>
      <c r="D3" s="6"/>
      <c r="E3" s="6"/>
      <c r="F3" s="6"/>
    </row>
    <row r="4">
      <c r="A4" s="14" t="s">
        <v>168</v>
      </c>
      <c r="B4" s="14" t="s">
        <v>169</v>
      </c>
      <c r="C4" s="65"/>
      <c r="D4" s="65"/>
      <c r="E4" s="65"/>
      <c r="F4" s="65"/>
    </row>
    <row r="5">
      <c r="A5" s="14" t="s">
        <v>170</v>
      </c>
      <c r="B5" s="14" t="s">
        <v>171</v>
      </c>
      <c r="C5" s="65"/>
      <c r="D5" s="65"/>
      <c r="E5" s="65"/>
      <c r="F5" s="65"/>
    </row>
    <row r="6">
      <c r="A6" s="14" t="s">
        <v>172</v>
      </c>
      <c r="B6" s="14" t="s">
        <v>173</v>
      </c>
      <c r="C6" s="65"/>
      <c r="D6" s="65"/>
      <c r="E6" s="65"/>
      <c r="F6" s="65"/>
    </row>
    <row r="7">
      <c r="A7" s="14" t="s">
        <v>174</v>
      </c>
      <c r="B7" s="14" t="s">
        <v>176</v>
      </c>
      <c r="C7" s="65"/>
      <c r="D7" s="65"/>
      <c r="E7" s="65"/>
      <c r="F7" s="65"/>
    </row>
    <row r="8">
      <c r="A8" s="14" t="s">
        <v>177</v>
      </c>
      <c r="B8" s="14" t="s">
        <v>178</v>
      </c>
      <c r="C8" s="65"/>
      <c r="D8" s="65"/>
      <c r="E8" s="65"/>
      <c r="F8" s="65"/>
    </row>
    <row r="9">
      <c r="A9" s="14" t="s">
        <v>180</v>
      </c>
      <c r="B9" s="14" t="s">
        <v>181</v>
      </c>
      <c r="C9" s="65"/>
      <c r="D9" s="65"/>
      <c r="E9" s="65"/>
      <c r="F9" s="65"/>
    </row>
    <row r="10">
      <c r="A10" s="14" t="s">
        <v>182</v>
      </c>
      <c r="B10" s="14" t="s">
        <v>183</v>
      </c>
      <c r="C10" s="65"/>
      <c r="D10" s="65"/>
      <c r="E10" s="65"/>
      <c r="F10" s="6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0"/>
    <col customWidth="1" min="3" max="3" width="28.0"/>
    <col customWidth="1" min="4" max="5" width="12.0"/>
    <col customWidth="1" min="6" max="6" width="16.0"/>
    <col customWidth="1" min="7" max="7" width="30.0"/>
    <col customWidth="1" min="8" max="26" width="8.63"/>
  </cols>
  <sheetData>
    <row r="1" ht="30.0" customHeight="1">
      <c r="A1" s="64" t="s">
        <v>186</v>
      </c>
    </row>
    <row r="2">
      <c r="A2" s="3"/>
      <c r="B2" s="3"/>
      <c r="C2" s="3"/>
      <c r="D2" s="3"/>
      <c r="E2" s="3"/>
      <c r="F2" s="3"/>
      <c r="G2" s="3"/>
    </row>
    <row r="3" ht="27.75" customHeight="1">
      <c r="A3" s="5" t="s">
        <v>13</v>
      </c>
      <c r="B3" s="5" t="s">
        <v>188</v>
      </c>
      <c r="C3" s="5" t="s">
        <v>10</v>
      </c>
      <c r="D3" s="5" t="s">
        <v>19</v>
      </c>
      <c r="E3" s="5" t="s">
        <v>21</v>
      </c>
      <c r="F3" s="5" t="s">
        <v>22</v>
      </c>
      <c r="G3" s="5" t="s">
        <v>33</v>
      </c>
    </row>
    <row r="4">
      <c r="A4" s="14">
        <f>IFERROR(DANH_MUC_LOP!$A$4,"")</f>
        <v>1</v>
      </c>
      <c r="B4" s="14" t="s">
        <v>189</v>
      </c>
      <c r="C4" s="14" t="str">
        <f>IFERROR(DANH_MUC_LOP!$B$4,"")</f>
        <v>L06</v>
      </c>
      <c r="D4" s="14" t="str">
        <f>IFERROR(DANH_MUC_LOP!$C$4,"")</f>
        <v>Lớp 6 Thầy Cường</v>
      </c>
      <c r="E4" s="14">
        <f>IFERROR(DANH_MUC_LOP!$D$4,"")</f>
        <v>6</v>
      </c>
      <c r="F4" s="14" t="str">
        <f>IFERROR(DANH_MUC_LOP!$E$4,"")</f>
        <v>Toán</v>
      </c>
      <c r="G4" s="14" t="str">
        <f>IFERROR(DANH_MUC_LOP!$P$4,"")</f>
        <v>Hoạt động</v>
      </c>
    </row>
    <row r="5">
      <c r="A5" s="14">
        <f>IFERROR(DANH_MUC_LOP!$A$5,"")</f>
        <v>2</v>
      </c>
      <c r="B5" s="14" t="s">
        <v>190</v>
      </c>
      <c r="C5" s="14" t="str">
        <f>IFERROR(DANH_MUC_LOP!$B$5,"")</f>
        <v>L07</v>
      </c>
      <c r="D5" s="14" t="str">
        <f>IFERROR(DANH_MUC_LOP!$C$5,"")</f>
        <v>Toán 7 Thầy Cường</v>
      </c>
      <c r="E5" s="14">
        <f>IFERROR(DANH_MUC_LOP!$D$5,"")</f>
        <v>7</v>
      </c>
      <c r="F5" s="14" t="str">
        <f>IFERROR(DANH_MUC_LOP!$E$5,"")</f>
        <v>Toán</v>
      </c>
      <c r="G5" s="14" t="str">
        <f>IFERROR(DANH_MUC_LOP!$P$5,"")</f>
        <v>Hoạt động</v>
      </c>
    </row>
    <row r="6">
      <c r="A6" s="14">
        <f>IFERROR(DANH_MUC_LOP!$A$6,"")</f>
        <v>3</v>
      </c>
      <c r="B6" s="14" t="s">
        <v>191</v>
      </c>
      <c r="C6" s="14" t="str">
        <f>IFERROR(DANH_MUC_LOP!$B$6,"")</f>
        <v>L08</v>
      </c>
      <c r="D6" s="14" t="str">
        <f>IFERROR(DANH_MUC_LOP!$C$6,"")</f>
        <v>Toán 8 Thầy Cường</v>
      </c>
      <c r="E6" s="14">
        <f>IFERROR(DANH_MUC_LOP!$D$6,"")</f>
        <v>8</v>
      </c>
      <c r="F6" s="14" t="str">
        <f>IFERROR(DANH_MUC_LOP!$E$6,"")</f>
        <v>Toán</v>
      </c>
      <c r="G6" s="14" t="str">
        <f>IFERROR(DANH_MUC_LOP!$P$6,"")</f>
        <v>Hoạt động</v>
      </c>
    </row>
    <row r="7">
      <c r="A7" s="14">
        <f>IFERROR(DANH_MUC_LOP!$A$7,"")</f>
        <v>4</v>
      </c>
      <c r="B7" s="14" t="s">
        <v>192</v>
      </c>
      <c r="C7" s="14" t="str">
        <f>IFERROR(DANH_MUC_LOP!$B$7,"")</f>
        <v>L09</v>
      </c>
      <c r="D7" s="14" t="str">
        <f>IFERROR(DANH_MUC_LOP!$C$7,"")</f>
        <v>Toán 9 Thầy Cường</v>
      </c>
      <c r="E7" s="14">
        <f>IFERROR(DANH_MUC_LOP!$D$7,"")</f>
        <v>9</v>
      </c>
      <c r="F7" s="14" t="str">
        <f>IFERROR(DANH_MUC_LOP!$E$7,"")</f>
        <v>Toán</v>
      </c>
      <c r="G7" s="14" t="str">
        <f>IFERROR(DANH_MUC_LOP!$P$7,"")</f>
        <v>Hoạt động</v>
      </c>
    </row>
    <row r="8">
      <c r="A8" s="14">
        <f>IFERROR(DANH_MUC_LOP!$A$8,"")</f>
        <v>5</v>
      </c>
      <c r="B8" s="14" t="s">
        <v>193</v>
      </c>
      <c r="C8" s="14" t="str">
        <f>IFERROR(DANH_MUC_LOP!$B$8,"")</f>
        <v/>
      </c>
      <c r="D8" s="14" t="str">
        <f>IFERROR(DANH_MUC_LOP!$C$8,"")</f>
        <v/>
      </c>
      <c r="E8" s="14" t="str">
        <f>IFERROR(DANH_MUC_LOP!$D$8,"")</f>
        <v/>
      </c>
      <c r="F8" s="14" t="str">
        <f>IFERROR(DANH_MUC_LOP!$E$8,"")</f>
        <v/>
      </c>
      <c r="G8" s="14" t="str">
        <f>IFERROR(DANH_MUC_LOP!$P$8,"")</f>
        <v>Chưa dùng</v>
      </c>
    </row>
    <row r="9">
      <c r="A9" s="14">
        <f>IFERROR(DANH_MUC_LOP!$A$9,"")</f>
        <v>6</v>
      </c>
      <c r="B9" s="14" t="s">
        <v>194</v>
      </c>
      <c r="C9" s="14" t="str">
        <f>IFERROR(DANH_MUC_LOP!$B$9,"")</f>
        <v/>
      </c>
      <c r="D9" s="14" t="str">
        <f>IFERROR(DANH_MUC_LOP!$C$9,"")</f>
        <v/>
      </c>
      <c r="E9" s="14" t="str">
        <f>IFERROR(DANH_MUC_LOP!$D$9,"")</f>
        <v/>
      </c>
      <c r="F9" s="14" t="str">
        <f>IFERROR(DANH_MUC_LOP!$E$9,"")</f>
        <v/>
      </c>
      <c r="G9" s="14" t="str">
        <f>IFERROR(DANH_MUC_LOP!$P$9,"")</f>
        <v>Chưa dùng</v>
      </c>
    </row>
    <row r="10">
      <c r="A10" s="14">
        <f>IFERROR(DANH_MUC_LOP!$A$10,"")</f>
        <v>7</v>
      </c>
      <c r="B10" s="14" t="s">
        <v>196</v>
      </c>
      <c r="C10" s="14" t="str">
        <f>IFERROR(DANH_MUC_LOP!$B$10,"")</f>
        <v/>
      </c>
      <c r="D10" s="14" t="str">
        <f>IFERROR(DANH_MUC_LOP!$C$10,"")</f>
        <v/>
      </c>
      <c r="E10" s="14" t="str">
        <f>IFERROR(DANH_MUC_LOP!$D$10,"")</f>
        <v/>
      </c>
      <c r="F10" s="14" t="str">
        <f>IFERROR(DANH_MUC_LOP!$E$10,"")</f>
        <v/>
      </c>
      <c r="G10" s="14" t="str">
        <f>IFERROR(DANH_MUC_LOP!$P$10,"")</f>
        <v>Chưa dùng</v>
      </c>
    </row>
    <row r="11">
      <c r="A11" s="14">
        <f>IFERROR(DANH_MUC_LOP!$A$11,"")</f>
        <v>8</v>
      </c>
      <c r="B11" s="14" t="s">
        <v>202</v>
      </c>
      <c r="C11" s="14" t="str">
        <f>IFERROR(DANH_MUC_LOP!$B$11,"")</f>
        <v/>
      </c>
      <c r="D11" s="14" t="str">
        <f>IFERROR(DANH_MUC_LOP!$C$11,"")</f>
        <v/>
      </c>
      <c r="E11" s="14" t="str">
        <f>IFERROR(DANH_MUC_LOP!$D$11,"")</f>
        <v/>
      </c>
      <c r="F11" s="14" t="str">
        <f>IFERROR(DANH_MUC_LOP!$E$11,"")</f>
        <v/>
      </c>
      <c r="G11" s="14" t="str">
        <f>IFERROR(DANH_MUC_LOP!$P$11,"")</f>
        <v>Chưa dùng</v>
      </c>
    </row>
    <row r="12">
      <c r="A12" s="14">
        <f>IFERROR(DANH_MUC_LOP!$A$12,"")</f>
        <v>9</v>
      </c>
      <c r="B12" s="14" t="s">
        <v>204</v>
      </c>
      <c r="C12" s="14" t="str">
        <f>IFERROR(DANH_MUC_LOP!$B$12,"")</f>
        <v/>
      </c>
      <c r="D12" s="14" t="str">
        <f>IFERROR(DANH_MUC_LOP!$C$12,"")</f>
        <v/>
      </c>
      <c r="E12" s="14" t="str">
        <f>IFERROR(DANH_MUC_LOP!$D$12,"")</f>
        <v/>
      </c>
      <c r="F12" s="14" t="str">
        <f>IFERROR(DANH_MUC_LOP!$E$12,"")</f>
        <v/>
      </c>
      <c r="G12" s="14" t="str">
        <f>IFERROR(DANH_MUC_LOP!$P$12,"")</f>
        <v>Chưa dùng</v>
      </c>
    </row>
    <row r="13">
      <c r="A13" s="14">
        <f>IFERROR(DANH_MUC_LOP!$A$13,"")</f>
        <v>10</v>
      </c>
      <c r="B13" s="14" t="s">
        <v>207</v>
      </c>
      <c r="C13" s="14" t="str">
        <f>IFERROR(DANH_MUC_LOP!$B$13,"")</f>
        <v/>
      </c>
      <c r="D13" s="14" t="str">
        <f>IFERROR(DANH_MUC_LOP!$C$13,"")</f>
        <v/>
      </c>
      <c r="E13" s="14" t="str">
        <f>IFERROR(DANH_MUC_LOP!$D$13,"")</f>
        <v/>
      </c>
      <c r="F13" s="14" t="str">
        <f>IFERROR(DANH_MUC_LOP!$E$13,"")</f>
        <v/>
      </c>
      <c r="G13" s="14" t="str">
        <f>IFERROR(DANH_MUC_LOP!$P$13,"")</f>
        <v>Chưa dùng</v>
      </c>
    </row>
    <row r="14">
      <c r="A14" s="14">
        <f>IFERROR(DANH_MUC_LOP!$A$14,"")</f>
        <v>11</v>
      </c>
      <c r="B14" s="14" t="s">
        <v>210</v>
      </c>
      <c r="C14" s="14" t="str">
        <f>IFERROR(DANH_MUC_LOP!$B$14,"")</f>
        <v/>
      </c>
      <c r="D14" s="14" t="str">
        <f>IFERROR(DANH_MUC_LOP!$C$14,"")</f>
        <v/>
      </c>
      <c r="E14" s="14" t="str">
        <f>IFERROR(DANH_MUC_LOP!$D$14,"")</f>
        <v/>
      </c>
      <c r="F14" s="14" t="str">
        <f>IFERROR(DANH_MUC_LOP!$E$14,"")</f>
        <v/>
      </c>
      <c r="G14" s="14" t="str">
        <f>IFERROR(DANH_MUC_LOP!$P$14,"")</f>
        <v>Chưa dùng</v>
      </c>
    </row>
    <row r="15">
      <c r="A15" s="14">
        <f>IFERROR(DANH_MUC_LOP!$A$15,"")</f>
        <v>12</v>
      </c>
      <c r="B15" s="14" t="s">
        <v>213</v>
      </c>
      <c r="C15" s="14" t="str">
        <f>IFERROR(DANH_MUC_LOP!$B$15,"")</f>
        <v/>
      </c>
      <c r="D15" s="14" t="str">
        <f>IFERROR(DANH_MUC_LOP!$C$15,"")</f>
        <v/>
      </c>
      <c r="E15" s="14" t="str">
        <f>IFERROR(DANH_MUC_LOP!$D$15,"")</f>
        <v/>
      </c>
      <c r="F15" s="14" t="str">
        <f>IFERROR(DANH_MUC_LOP!$E$15,"")</f>
        <v/>
      </c>
      <c r="G15" s="14" t="str">
        <f>IFERROR(DANH_MUC_LOP!$P$15,"")</f>
        <v>Chưa dùng</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24.0"/>
    <col customWidth="1" min="3" max="33" width="5.0"/>
    <col customWidth="1" min="34" max="36" width="13.0"/>
    <col customWidth="1" min="37" max="37" width="42.0"/>
  </cols>
  <sheetData>
    <row r="1" ht="30.0" customHeight="1">
      <c r="A1" s="64" t="s">
        <v>187</v>
      </c>
    </row>
    <row r="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ht="18.0" customHeight="1">
      <c r="A3" s="67" t="s">
        <v>10</v>
      </c>
      <c r="B3" s="51" t="str">
        <f>IFERROR(DANH_MUC_LOP!$B$4,"")</f>
        <v>L06</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ht="18.0" customHeight="1">
      <c r="A4" s="67" t="s">
        <v>76</v>
      </c>
      <c r="B4" s="68">
        <f>IFERROR(DIEU_KHIEN!$B$4,"")</f>
        <v>46235</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row>
    <row r="5" ht="18.0" customHeight="1">
      <c r="A5" s="67" t="s">
        <v>19</v>
      </c>
      <c r="B5" s="51" t="str">
        <f>IFERROR(DANH_MUC_LOP!$C$4,"")</f>
        <v>Lớp 6 Thầy Cường</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row>
    <row r="6" ht="18.0" customHeight="1">
      <c r="A6" s="67" t="s">
        <v>21</v>
      </c>
      <c r="B6" s="51">
        <f>IFERROR(DANH_MUC_LOP!$D$4,"")</f>
        <v>6</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row>
    <row r="7" ht="18.0" customHeight="1">
      <c r="A7" s="67" t="s">
        <v>22</v>
      </c>
      <c r="B7" s="51" t="str">
        <f>IFERROR(DANH_MUC_LOP!$E$4,"")</f>
        <v>Toán</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row>
    <row r="8" ht="18.0" customHeight="1">
      <c r="A8" s="67" t="s">
        <v>23</v>
      </c>
      <c r="B8" s="43">
        <f>IFERROR(DANH_MUC_LOP!$F$4,"")</f>
        <v>50000</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row>
    <row r="9" ht="18.0" customHeight="1">
      <c r="A9" s="67" t="s">
        <v>195</v>
      </c>
      <c r="B9" s="51" t="str">
        <f>IFERROR(DANH_MUC_LOP!$G$4,"")</f>
        <v>Không</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row>
    <row r="10" ht="18.0" customHeight="1">
      <c r="A10" s="67" t="s">
        <v>197</v>
      </c>
      <c r="B10" s="51" t="str">
        <f>IFERROR(DANH_MUC_LOP!$H$4,"")</f>
        <v>Không</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row>
    <row r="11" ht="18.0" customHeight="1">
      <c r="A11" s="67" t="s">
        <v>199</v>
      </c>
      <c r="B11" s="51" t="str">
        <f>IFERROR(DANH_MUC_LOP!$I$4,"")</f>
        <v>Không</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row>
    <row r="12" ht="18.0" customHeight="1">
      <c r="A12" s="67" t="s">
        <v>201</v>
      </c>
      <c r="B12" s="51" t="str">
        <f>IFERROR(DANH_MUC_LOP!$J$4,"")</f>
        <v>Có</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row>
    <row r="13" ht="18.0" customHeight="1">
      <c r="A13" s="67" t="s">
        <v>203</v>
      </c>
      <c r="B13" s="51" t="str">
        <f>IFERROR(DANH_MUC_LOP!$K$4,"")</f>
        <v>Không</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row>
    <row r="14" ht="18.0" customHeight="1">
      <c r="A14" s="67" t="s">
        <v>205</v>
      </c>
      <c r="B14" s="51" t="str">
        <f>IFERROR(DANH_MUC_LOP!$L$4,"")</f>
        <v>Không</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ht="18.0" customHeight="1">
      <c r="A15" s="67" t="s">
        <v>206</v>
      </c>
      <c r="B15" s="51" t="str">
        <f>IFERROR(DANH_MUC_LOP!$M$4,"")</f>
        <v>Có</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row>
    <row r="16" ht="18.0" customHeight="1">
      <c r="A16" s="67" t="s">
        <v>209</v>
      </c>
      <c r="B16" s="51">
        <f>IFERROR(IF(DANH_MUC_LOP!$R$4&gt;0,DANH_MUC_LOP!$R$4,SUM(C19:AG19)),SUM(C19:AG19))</f>
        <v>9</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row>
    <row r="17">
      <c r="A17" s="4" t="s">
        <v>212</v>
      </c>
      <c r="B17" s="4"/>
      <c r="C17" s="71">
        <v>1.0</v>
      </c>
      <c r="D17" s="71">
        <v>2.0</v>
      </c>
      <c r="E17" s="71">
        <v>3.0</v>
      </c>
      <c r="F17" s="71">
        <v>4.0</v>
      </c>
      <c r="G17" s="71">
        <v>5.0</v>
      </c>
      <c r="H17" s="71">
        <v>6.0</v>
      </c>
      <c r="I17" s="71">
        <v>7.0</v>
      </c>
      <c r="J17" s="71">
        <v>8.0</v>
      </c>
      <c r="K17" s="71">
        <v>9.0</v>
      </c>
      <c r="L17" s="71">
        <v>10.0</v>
      </c>
      <c r="M17" s="71">
        <v>11.0</v>
      </c>
      <c r="N17" s="71">
        <v>12.0</v>
      </c>
      <c r="O17" s="71">
        <v>13.0</v>
      </c>
      <c r="P17" s="71">
        <v>14.0</v>
      </c>
      <c r="Q17" s="71">
        <v>15.0</v>
      </c>
      <c r="R17" s="71">
        <v>16.0</v>
      </c>
      <c r="S17" s="71">
        <v>17.0</v>
      </c>
      <c r="T17" s="71">
        <v>18.0</v>
      </c>
      <c r="U17" s="71">
        <v>19.0</v>
      </c>
      <c r="V17" s="71">
        <v>20.0</v>
      </c>
      <c r="W17" s="71">
        <v>21.0</v>
      </c>
      <c r="X17" s="71">
        <v>22.0</v>
      </c>
      <c r="Y17" s="71">
        <v>23.0</v>
      </c>
      <c r="Z17" s="71">
        <v>24.0</v>
      </c>
      <c r="AA17" s="71">
        <v>25.0</v>
      </c>
      <c r="AB17" s="71">
        <v>26.0</v>
      </c>
      <c r="AC17" s="71">
        <v>27.0</v>
      </c>
      <c r="AD17" s="71">
        <v>28.0</v>
      </c>
      <c r="AE17" s="71">
        <v>29.0</v>
      </c>
      <c r="AF17" s="71">
        <v>30.0</v>
      </c>
      <c r="AG17" s="71">
        <v>31.0</v>
      </c>
      <c r="AH17" s="72"/>
      <c r="AI17" s="72"/>
      <c r="AJ17" s="72"/>
      <c r="AK17" s="72"/>
    </row>
    <row r="18">
      <c r="A18" s="4" t="s">
        <v>5</v>
      </c>
      <c r="B18" s="4"/>
      <c r="C18" s="74">
        <f t="shared" ref="C18:AG18" si="1">IFERROR(IF(MONTH(DATE(YEAR($B$4),MONTH($B$4),C$17))=MONTH($B$4),DATE(YEAR($B$4),MONTH($B$4),C$17),""),"")</f>
        <v>46235</v>
      </c>
      <c r="D18" s="74">
        <f t="shared" si="1"/>
        <v>46236</v>
      </c>
      <c r="E18" s="74">
        <f t="shared" si="1"/>
        <v>46237</v>
      </c>
      <c r="F18" s="74">
        <f t="shared" si="1"/>
        <v>46238</v>
      </c>
      <c r="G18" s="74">
        <f t="shared" si="1"/>
        <v>46239</v>
      </c>
      <c r="H18" s="74">
        <f t="shared" si="1"/>
        <v>46240</v>
      </c>
      <c r="I18" s="74">
        <f t="shared" si="1"/>
        <v>46241</v>
      </c>
      <c r="J18" s="74">
        <f t="shared" si="1"/>
        <v>46242</v>
      </c>
      <c r="K18" s="74">
        <f t="shared" si="1"/>
        <v>46243</v>
      </c>
      <c r="L18" s="74">
        <f t="shared" si="1"/>
        <v>46244</v>
      </c>
      <c r="M18" s="74">
        <f t="shared" si="1"/>
        <v>46245</v>
      </c>
      <c r="N18" s="74">
        <f t="shared" si="1"/>
        <v>46246</v>
      </c>
      <c r="O18" s="74">
        <f t="shared" si="1"/>
        <v>46247</v>
      </c>
      <c r="P18" s="74">
        <f t="shared" si="1"/>
        <v>46248</v>
      </c>
      <c r="Q18" s="74">
        <f t="shared" si="1"/>
        <v>46249</v>
      </c>
      <c r="R18" s="74">
        <f t="shared" si="1"/>
        <v>46250</v>
      </c>
      <c r="S18" s="74">
        <f t="shared" si="1"/>
        <v>46251</v>
      </c>
      <c r="T18" s="74">
        <f t="shared" si="1"/>
        <v>46252</v>
      </c>
      <c r="U18" s="74">
        <f t="shared" si="1"/>
        <v>46253</v>
      </c>
      <c r="V18" s="74">
        <f t="shared" si="1"/>
        <v>46254</v>
      </c>
      <c r="W18" s="74">
        <f t="shared" si="1"/>
        <v>46255</v>
      </c>
      <c r="X18" s="74">
        <f t="shared" si="1"/>
        <v>46256</v>
      </c>
      <c r="Y18" s="74">
        <f t="shared" si="1"/>
        <v>46257</v>
      </c>
      <c r="Z18" s="74">
        <f t="shared" si="1"/>
        <v>46258</v>
      </c>
      <c r="AA18" s="74">
        <f t="shared" si="1"/>
        <v>46259</v>
      </c>
      <c r="AB18" s="74">
        <f t="shared" si="1"/>
        <v>46260</v>
      </c>
      <c r="AC18" s="74">
        <f t="shared" si="1"/>
        <v>46261</v>
      </c>
      <c r="AD18" s="74">
        <f t="shared" si="1"/>
        <v>46262</v>
      </c>
      <c r="AE18" s="74">
        <f t="shared" si="1"/>
        <v>46263</v>
      </c>
      <c r="AF18" s="74">
        <f t="shared" si="1"/>
        <v>46264</v>
      </c>
      <c r="AG18" s="74">
        <f t="shared" si="1"/>
        <v>46265</v>
      </c>
      <c r="AH18" s="72"/>
      <c r="AI18" s="72"/>
      <c r="AJ18" s="72"/>
      <c r="AK18" s="72"/>
    </row>
    <row r="19">
      <c r="A19" s="4" t="s">
        <v>215</v>
      </c>
      <c r="B19" s="4"/>
      <c r="C19" s="71">
        <f t="shared" ref="C19:AG19" si="2">IFERROR(IF(C18="","",IF(CHOOSE(WEEKDAY(C18,2),$B$9,$B$10,$B$11,$B$12,$B$13,$B$14,$B$15)="Có",1,0)),"")</f>
        <v>0</v>
      </c>
      <c r="D19" s="71">
        <f t="shared" si="2"/>
        <v>1</v>
      </c>
      <c r="E19" s="71">
        <f t="shared" si="2"/>
        <v>0</v>
      </c>
      <c r="F19" s="71">
        <f t="shared" si="2"/>
        <v>0</v>
      </c>
      <c r="G19" s="71">
        <f t="shared" si="2"/>
        <v>0</v>
      </c>
      <c r="H19" s="71">
        <f t="shared" si="2"/>
        <v>1</v>
      </c>
      <c r="I19" s="71">
        <f t="shared" si="2"/>
        <v>0</v>
      </c>
      <c r="J19" s="71">
        <f t="shared" si="2"/>
        <v>0</v>
      </c>
      <c r="K19" s="71">
        <f t="shared" si="2"/>
        <v>1</v>
      </c>
      <c r="L19" s="71">
        <f t="shared" si="2"/>
        <v>0</v>
      </c>
      <c r="M19" s="71">
        <f t="shared" si="2"/>
        <v>0</v>
      </c>
      <c r="N19" s="71">
        <f t="shared" si="2"/>
        <v>0</v>
      </c>
      <c r="O19" s="71">
        <f t="shared" si="2"/>
        <v>1</v>
      </c>
      <c r="P19" s="71">
        <f t="shared" si="2"/>
        <v>0</v>
      </c>
      <c r="Q19" s="71">
        <f t="shared" si="2"/>
        <v>0</v>
      </c>
      <c r="R19" s="71">
        <f t="shared" si="2"/>
        <v>1</v>
      </c>
      <c r="S19" s="71">
        <f t="shared" si="2"/>
        <v>0</v>
      </c>
      <c r="T19" s="71">
        <f t="shared" si="2"/>
        <v>0</v>
      </c>
      <c r="U19" s="71">
        <f t="shared" si="2"/>
        <v>0</v>
      </c>
      <c r="V19" s="71">
        <f t="shared" si="2"/>
        <v>1</v>
      </c>
      <c r="W19" s="71">
        <f t="shared" si="2"/>
        <v>0</v>
      </c>
      <c r="X19" s="71">
        <f t="shared" si="2"/>
        <v>0</v>
      </c>
      <c r="Y19" s="71">
        <f t="shared" si="2"/>
        <v>1</v>
      </c>
      <c r="Z19" s="71">
        <f t="shared" si="2"/>
        <v>0</v>
      </c>
      <c r="AA19" s="71">
        <f t="shared" si="2"/>
        <v>0</v>
      </c>
      <c r="AB19" s="71">
        <f t="shared" si="2"/>
        <v>0</v>
      </c>
      <c r="AC19" s="71">
        <f t="shared" si="2"/>
        <v>1</v>
      </c>
      <c r="AD19" s="71">
        <f t="shared" si="2"/>
        <v>0</v>
      </c>
      <c r="AE19" s="71">
        <f t="shared" si="2"/>
        <v>0</v>
      </c>
      <c r="AF19" s="71">
        <f t="shared" si="2"/>
        <v>1</v>
      </c>
      <c r="AG19" s="71">
        <f t="shared" si="2"/>
        <v>0</v>
      </c>
      <c r="AH19" s="72"/>
      <c r="AI19" s="72"/>
      <c r="AJ19" s="72"/>
      <c r="AK19" s="72"/>
    </row>
    <row r="20" ht="27.75" customHeight="1">
      <c r="A20" s="5" t="s">
        <v>14</v>
      </c>
      <c r="B20" s="5" t="s">
        <v>16</v>
      </c>
      <c r="C20" s="5" t="s">
        <v>216</v>
      </c>
      <c r="D20" s="5" t="s">
        <v>217</v>
      </c>
      <c r="E20" s="5" t="s">
        <v>218</v>
      </c>
      <c r="F20" s="5" t="s">
        <v>219</v>
      </c>
      <c r="G20" s="5" t="s">
        <v>220</v>
      </c>
      <c r="H20" s="5" t="s">
        <v>221</v>
      </c>
      <c r="I20" s="5" t="s">
        <v>222</v>
      </c>
      <c r="J20" s="5" t="s">
        <v>223</v>
      </c>
      <c r="K20" s="5" t="s">
        <v>224</v>
      </c>
      <c r="L20" s="5" t="s">
        <v>225</v>
      </c>
      <c r="M20" s="5" t="s">
        <v>226</v>
      </c>
      <c r="N20" s="5" t="s">
        <v>227</v>
      </c>
      <c r="O20" s="5" t="s">
        <v>228</v>
      </c>
      <c r="P20" s="5" t="s">
        <v>229</v>
      </c>
      <c r="Q20" s="5" t="s">
        <v>230</v>
      </c>
      <c r="R20" s="5" t="s">
        <v>231</v>
      </c>
      <c r="S20" s="5" t="s">
        <v>232</v>
      </c>
      <c r="T20" s="5" t="s">
        <v>233</v>
      </c>
      <c r="U20" s="5" t="s">
        <v>234</v>
      </c>
      <c r="V20" s="5" t="s">
        <v>235</v>
      </c>
      <c r="W20" s="5" t="s">
        <v>236</v>
      </c>
      <c r="X20" s="5" t="s">
        <v>237</v>
      </c>
      <c r="Y20" s="5" t="s">
        <v>238</v>
      </c>
      <c r="Z20" s="5" t="s">
        <v>239</v>
      </c>
      <c r="AA20" s="5" t="s">
        <v>240</v>
      </c>
      <c r="AB20" s="5" t="s">
        <v>241</v>
      </c>
      <c r="AC20" s="5" t="s">
        <v>242</v>
      </c>
      <c r="AD20" s="5" t="s">
        <v>243</v>
      </c>
      <c r="AE20" s="5" t="s">
        <v>244</v>
      </c>
      <c r="AF20" s="5" t="s">
        <v>246</v>
      </c>
      <c r="AG20" s="5" t="s">
        <v>247</v>
      </c>
      <c r="AH20" s="5" t="s">
        <v>248</v>
      </c>
      <c r="AI20" s="5" t="s">
        <v>249</v>
      </c>
      <c r="AJ20" s="5" t="s">
        <v>250</v>
      </c>
      <c r="AK20" s="5" t="s">
        <v>15</v>
      </c>
    </row>
    <row r="21" ht="15.75" customHeight="1">
      <c r="A21" s="50" t="s">
        <v>251</v>
      </c>
      <c r="B21" s="50" t="s">
        <v>252</v>
      </c>
      <c r="C21" s="76"/>
      <c r="D21" s="76" t="s">
        <v>253</v>
      </c>
      <c r="E21" s="76"/>
      <c r="F21" s="76"/>
      <c r="G21" s="76"/>
      <c r="H21" s="76"/>
      <c r="I21" s="76"/>
      <c r="J21" s="76"/>
      <c r="K21" s="76" t="s">
        <v>253</v>
      </c>
      <c r="L21" s="76"/>
      <c r="M21" s="76"/>
      <c r="N21" s="76"/>
      <c r="O21" s="77" t="s">
        <v>253</v>
      </c>
      <c r="P21" s="76"/>
      <c r="Q21" s="76"/>
      <c r="R21" s="77" t="s">
        <v>254</v>
      </c>
      <c r="S21" s="76"/>
      <c r="T21" s="76"/>
      <c r="U21" s="76"/>
      <c r="V21" s="77" t="s">
        <v>253</v>
      </c>
      <c r="W21" s="76"/>
      <c r="X21" s="76"/>
      <c r="Y21" s="77" t="s">
        <v>254</v>
      </c>
      <c r="Z21" s="76"/>
      <c r="AA21" s="76"/>
      <c r="AB21" s="76"/>
      <c r="AC21" s="77" t="s">
        <v>253</v>
      </c>
      <c r="AD21" s="76"/>
      <c r="AE21" s="76"/>
      <c r="AF21" s="76"/>
      <c r="AG21" s="76"/>
      <c r="AH21" s="51">
        <f t="shared" ref="AH21:AH49" si="3">IF(A21="","",COUNTIF(C21:AG21,"C"))</f>
        <v>5</v>
      </c>
      <c r="AI21" s="51">
        <f t="shared" ref="AI21:AI49" si="4">IF(A21="","",COUNTIF(C21:AG21,"N")+COUNTIF(C21:AG21,"P"))</f>
        <v>2</v>
      </c>
      <c r="AJ21" s="51">
        <f t="shared" ref="AJ21:AJ49" si="5">IF(A21="","",MAX(0,$B$16-AH21-AI21))</f>
        <v>2</v>
      </c>
      <c r="AK21" s="78"/>
    </row>
    <row r="22" ht="15.75" customHeight="1">
      <c r="A22" s="50" t="s">
        <v>255</v>
      </c>
      <c r="B22" s="50" t="s">
        <v>256</v>
      </c>
      <c r="C22" s="76"/>
      <c r="D22" s="76" t="s">
        <v>253</v>
      </c>
      <c r="E22" s="76"/>
      <c r="F22" s="76"/>
      <c r="G22" s="76"/>
      <c r="H22" s="76"/>
      <c r="I22" s="76"/>
      <c r="J22" s="76"/>
      <c r="K22" s="76" t="s">
        <v>253</v>
      </c>
      <c r="L22" s="76"/>
      <c r="M22" s="76"/>
      <c r="N22" s="76"/>
      <c r="O22" s="77" t="s">
        <v>253</v>
      </c>
      <c r="P22" s="76"/>
      <c r="Q22" s="76"/>
      <c r="R22" s="77" t="s">
        <v>253</v>
      </c>
      <c r="S22" s="76"/>
      <c r="T22" s="76"/>
      <c r="U22" s="76"/>
      <c r="V22" s="77" t="s">
        <v>253</v>
      </c>
      <c r="W22" s="76"/>
      <c r="X22" s="76"/>
      <c r="Y22" s="77" t="s">
        <v>254</v>
      </c>
      <c r="Z22" s="76"/>
      <c r="AA22" s="76"/>
      <c r="AB22" s="76"/>
      <c r="AC22" s="77" t="s">
        <v>253</v>
      </c>
      <c r="AD22" s="76"/>
      <c r="AE22" s="76"/>
      <c r="AF22" s="76"/>
      <c r="AG22" s="76"/>
      <c r="AH22" s="51">
        <f t="shared" si="3"/>
        <v>6</v>
      </c>
      <c r="AI22" s="51">
        <f t="shared" si="4"/>
        <v>1</v>
      </c>
      <c r="AJ22" s="51">
        <f t="shared" si="5"/>
        <v>2</v>
      </c>
      <c r="AK22" s="78"/>
    </row>
    <row r="23" ht="15.75" customHeight="1">
      <c r="A23" s="50" t="s">
        <v>257</v>
      </c>
      <c r="B23" s="50" t="s">
        <v>258</v>
      </c>
      <c r="C23" s="76"/>
      <c r="D23" s="76" t="s">
        <v>253</v>
      </c>
      <c r="E23" s="76"/>
      <c r="F23" s="76"/>
      <c r="G23" s="76"/>
      <c r="H23" s="76"/>
      <c r="I23" s="76"/>
      <c r="J23" s="76"/>
      <c r="K23" s="76" t="s">
        <v>253</v>
      </c>
      <c r="L23" s="76"/>
      <c r="M23" s="76"/>
      <c r="N23" s="76"/>
      <c r="O23" s="77" t="s">
        <v>253</v>
      </c>
      <c r="P23" s="76"/>
      <c r="Q23" s="76"/>
      <c r="R23" s="77" t="s">
        <v>253</v>
      </c>
      <c r="S23" s="76"/>
      <c r="T23" s="76"/>
      <c r="U23" s="76"/>
      <c r="V23" s="77" t="s">
        <v>253</v>
      </c>
      <c r="W23" s="76"/>
      <c r="X23" s="76"/>
      <c r="Y23" s="77" t="s">
        <v>254</v>
      </c>
      <c r="Z23" s="76"/>
      <c r="AA23" s="76"/>
      <c r="AB23" s="76"/>
      <c r="AC23" s="77" t="s">
        <v>253</v>
      </c>
      <c r="AD23" s="76"/>
      <c r="AE23" s="76"/>
      <c r="AF23" s="76"/>
      <c r="AG23" s="76"/>
      <c r="AH23" s="51">
        <f t="shared" si="3"/>
        <v>6</v>
      </c>
      <c r="AI23" s="51">
        <f t="shared" si="4"/>
        <v>1</v>
      </c>
      <c r="AJ23" s="51">
        <f t="shared" si="5"/>
        <v>2</v>
      </c>
      <c r="AK23" s="78"/>
    </row>
    <row r="24" ht="15.75" customHeight="1">
      <c r="A24" s="50" t="s">
        <v>259</v>
      </c>
      <c r="B24" s="50" t="s">
        <v>260</v>
      </c>
      <c r="C24" s="76"/>
      <c r="D24" s="76" t="s">
        <v>253</v>
      </c>
      <c r="E24" s="76"/>
      <c r="F24" s="76"/>
      <c r="G24" s="76"/>
      <c r="H24" s="76"/>
      <c r="I24" s="76"/>
      <c r="J24" s="76"/>
      <c r="K24" s="76" t="s">
        <v>253</v>
      </c>
      <c r="L24" s="76"/>
      <c r="M24" s="76"/>
      <c r="N24" s="76"/>
      <c r="O24" s="77" t="s">
        <v>253</v>
      </c>
      <c r="P24" s="76"/>
      <c r="Q24" s="76"/>
      <c r="R24" s="77" t="s">
        <v>253</v>
      </c>
      <c r="S24" s="76"/>
      <c r="T24" s="76"/>
      <c r="U24" s="76"/>
      <c r="V24" s="77" t="s">
        <v>253</v>
      </c>
      <c r="W24" s="76"/>
      <c r="X24" s="76"/>
      <c r="Y24" s="77" t="s">
        <v>253</v>
      </c>
      <c r="Z24" s="76"/>
      <c r="AA24" s="76"/>
      <c r="AB24" s="76"/>
      <c r="AC24" s="77" t="s">
        <v>253</v>
      </c>
      <c r="AD24" s="76"/>
      <c r="AE24" s="76"/>
      <c r="AF24" s="76"/>
      <c r="AG24" s="76"/>
      <c r="AH24" s="51">
        <f t="shared" si="3"/>
        <v>7</v>
      </c>
      <c r="AI24" s="51">
        <f t="shared" si="4"/>
        <v>0</v>
      </c>
      <c r="AJ24" s="51">
        <f t="shared" si="5"/>
        <v>2</v>
      </c>
      <c r="AK24" s="78"/>
    </row>
    <row r="25" ht="15.75" customHeight="1">
      <c r="A25" s="50" t="s">
        <v>261</v>
      </c>
      <c r="B25" s="50" t="s">
        <v>262</v>
      </c>
      <c r="C25" s="76"/>
      <c r="D25" s="76" t="s">
        <v>253</v>
      </c>
      <c r="E25" s="76"/>
      <c r="F25" s="76"/>
      <c r="G25" s="76"/>
      <c r="H25" s="76"/>
      <c r="I25" s="76"/>
      <c r="J25" s="76"/>
      <c r="K25" s="76" t="s">
        <v>253</v>
      </c>
      <c r="L25" s="76"/>
      <c r="M25" s="76"/>
      <c r="N25" s="76"/>
      <c r="O25" s="77" t="s">
        <v>253</v>
      </c>
      <c r="P25" s="76"/>
      <c r="Q25" s="76"/>
      <c r="R25" s="77" t="s">
        <v>253</v>
      </c>
      <c r="S25" s="76"/>
      <c r="T25" s="76"/>
      <c r="U25" s="76"/>
      <c r="V25" s="77" t="s">
        <v>253</v>
      </c>
      <c r="W25" s="76"/>
      <c r="X25" s="76"/>
      <c r="Y25" s="77" t="s">
        <v>254</v>
      </c>
      <c r="Z25" s="76"/>
      <c r="AA25" s="76"/>
      <c r="AB25" s="76"/>
      <c r="AC25" s="77" t="s">
        <v>254</v>
      </c>
      <c r="AD25" s="76"/>
      <c r="AE25" s="76"/>
      <c r="AF25" s="76"/>
      <c r="AG25" s="76"/>
      <c r="AH25" s="51">
        <f t="shared" si="3"/>
        <v>5</v>
      </c>
      <c r="AI25" s="51">
        <f t="shared" si="4"/>
        <v>2</v>
      </c>
      <c r="AJ25" s="51">
        <f t="shared" si="5"/>
        <v>2</v>
      </c>
      <c r="AK25" s="78"/>
    </row>
    <row r="26" ht="15.75" customHeight="1">
      <c r="A26" s="50" t="s">
        <v>263</v>
      </c>
      <c r="B26" s="50" t="s">
        <v>264</v>
      </c>
      <c r="C26" s="76"/>
      <c r="D26" s="76" t="s">
        <v>253</v>
      </c>
      <c r="E26" s="76"/>
      <c r="F26" s="76"/>
      <c r="G26" s="76"/>
      <c r="H26" s="76"/>
      <c r="I26" s="76"/>
      <c r="J26" s="76"/>
      <c r="K26" s="76" t="s">
        <v>253</v>
      </c>
      <c r="L26" s="76"/>
      <c r="M26" s="76"/>
      <c r="N26" s="76"/>
      <c r="O26" s="77" t="s">
        <v>253</v>
      </c>
      <c r="P26" s="76"/>
      <c r="Q26" s="76"/>
      <c r="R26" s="77" t="s">
        <v>253</v>
      </c>
      <c r="S26" s="76"/>
      <c r="T26" s="76"/>
      <c r="U26" s="76"/>
      <c r="V26" s="77" t="s">
        <v>253</v>
      </c>
      <c r="W26" s="76"/>
      <c r="X26" s="76"/>
      <c r="Y26" s="77" t="s">
        <v>254</v>
      </c>
      <c r="Z26" s="76"/>
      <c r="AA26" s="76"/>
      <c r="AB26" s="76"/>
      <c r="AC26" s="77" t="s">
        <v>253</v>
      </c>
      <c r="AD26" s="76"/>
      <c r="AE26" s="76"/>
      <c r="AF26" s="76"/>
      <c r="AG26" s="76"/>
      <c r="AH26" s="51">
        <f t="shared" si="3"/>
        <v>6</v>
      </c>
      <c r="AI26" s="51">
        <f t="shared" si="4"/>
        <v>1</v>
      </c>
      <c r="AJ26" s="51">
        <f t="shared" si="5"/>
        <v>2</v>
      </c>
      <c r="AK26" s="78"/>
    </row>
    <row r="27" ht="15.75" customHeight="1">
      <c r="A27" s="50" t="s">
        <v>265</v>
      </c>
      <c r="B27" s="50" t="s">
        <v>266</v>
      </c>
      <c r="C27" s="76"/>
      <c r="D27" s="76" t="s">
        <v>253</v>
      </c>
      <c r="E27" s="76"/>
      <c r="F27" s="76"/>
      <c r="G27" s="76"/>
      <c r="H27" s="76"/>
      <c r="I27" s="76"/>
      <c r="J27" s="76"/>
      <c r="K27" s="76" t="s">
        <v>253</v>
      </c>
      <c r="L27" s="76"/>
      <c r="M27" s="76"/>
      <c r="N27" s="76"/>
      <c r="O27" s="77" t="s">
        <v>253</v>
      </c>
      <c r="P27" s="76"/>
      <c r="Q27" s="76"/>
      <c r="R27" s="77" t="s">
        <v>253</v>
      </c>
      <c r="S27" s="76"/>
      <c r="T27" s="76"/>
      <c r="U27" s="76"/>
      <c r="V27" s="77" t="s">
        <v>253</v>
      </c>
      <c r="W27" s="76"/>
      <c r="X27" s="76"/>
      <c r="Y27" s="77" t="s">
        <v>253</v>
      </c>
      <c r="Z27" s="76"/>
      <c r="AA27" s="76"/>
      <c r="AB27" s="76"/>
      <c r="AC27" s="77" t="s">
        <v>253</v>
      </c>
      <c r="AD27" s="76"/>
      <c r="AE27" s="76"/>
      <c r="AF27" s="76"/>
      <c r="AG27" s="76"/>
      <c r="AH27" s="51">
        <f t="shared" si="3"/>
        <v>7</v>
      </c>
      <c r="AI27" s="51">
        <f t="shared" si="4"/>
        <v>0</v>
      </c>
      <c r="AJ27" s="51">
        <f t="shared" si="5"/>
        <v>2</v>
      </c>
      <c r="AK27" s="78"/>
    </row>
    <row r="28" ht="15.75" customHeight="1">
      <c r="A28" s="50" t="s">
        <v>267</v>
      </c>
      <c r="B28" s="50" t="s">
        <v>268</v>
      </c>
      <c r="C28" s="76"/>
      <c r="D28" s="76" t="s">
        <v>253</v>
      </c>
      <c r="E28" s="76"/>
      <c r="F28" s="76"/>
      <c r="G28" s="76"/>
      <c r="H28" s="76"/>
      <c r="I28" s="76"/>
      <c r="J28" s="76"/>
      <c r="K28" s="76" t="s">
        <v>253</v>
      </c>
      <c r="L28" s="76"/>
      <c r="M28" s="76"/>
      <c r="N28" s="76"/>
      <c r="O28" s="77" t="s">
        <v>254</v>
      </c>
      <c r="P28" s="76"/>
      <c r="Q28" s="76"/>
      <c r="R28" s="77" t="s">
        <v>253</v>
      </c>
      <c r="S28" s="76"/>
      <c r="T28" s="76"/>
      <c r="U28" s="76"/>
      <c r="V28" s="77" t="s">
        <v>253</v>
      </c>
      <c r="W28" s="76"/>
      <c r="X28" s="76"/>
      <c r="Y28" s="77" t="s">
        <v>254</v>
      </c>
      <c r="Z28" s="76"/>
      <c r="AA28" s="76"/>
      <c r="AB28" s="76"/>
      <c r="AC28" s="77" t="s">
        <v>253</v>
      </c>
      <c r="AD28" s="76"/>
      <c r="AE28" s="76"/>
      <c r="AF28" s="76"/>
      <c r="AG28" s="76"/>
      <c r="AH28" s="51">
        <f t="shared" si="3"/>
        <v>5</v>
      </c>
      <c r="AI28" s="51">
        <f t="shared" si="4"/>
        <v>2</v>
      </c>
      <c r="AJ28" s="51">
        <f t="shared" si="5"/>
        <v>2</v>
      </c>
      <c r="AK28" s="78"/>
    </row>
    <row r="29" ht="15.75" customHeight="1">
      <c r="A29" s="50" t="s">
        <v>270</v>
      </c>
      <c r="B29" s="50" t="s">
        <v>271</v>
      </c>
      <c r="C29" s="76"/>
      <c r="D29" s="76" t="s">
        <v>253</v>
      </c>
      <c r="E29" s="76"/>
      <c r="F29" s="76"/>
      <c r="G29" s="76"/>
      <c r="H29" s="76"/>
      <c r="I29" s="76"/>
      <c r="J29" s="76"/>
      <c r="K29" s="76" t="s">
        <v>253</v>
      </c>
      <c r="L29" s="76"/>
      <c r="M29" s="76"/>
      <c r="N29" s="76"/>
      <c r="O29" s="77" t="s">
        <v>253</v>
      </c>
      <c r="P29" s="76"/>
      <c r="Q29" s="76"/>
      <c r="R29" s="77" t="s">
        <v>253</v>
      </c>
      <c r="S29" s="76"/>
      <c r="T29" s="76"/>
      <c r="U29" s="76"/>
      <c r="V29" s="77" t="s">
        <v>253</v>
      </c>
      <c r="W29" s="76"/>
      <c r="X29" s="76"/>
      <c r="Y29" s="77" t="s">
        <v>254</v>
      </c>
      <c r="Z29" s="76"/>
      <c r="AA29" s="76"/>
      <c r="AB29" s="76"/>
      <c r="AC29" s="77" t="s">
        <v>253</v>
      </c>
      <c r="AD29" s="76"/>
      <c r="AE29" s="76"/>
      <c r="AF29" s="76"/>
      <c r="AG29" s="76"/>
      <c r="AH29" s="51">
        <f t="shared" si="3"/>
        <v>6</v>
      </c>
      <c r="AI29" s="51">
        <f t="shared" si="4"/>
        <v>1</v>
      </c>
      <c r="AJ29" s="51">
        <f t="shared" si="5"/>
        <v>2</v>
      </c>
      <c r="AK29" s="78"/>
    </row>
    <row r="30" ht="15.75" customHeight="1">
      <c r="A30" s="50" t="s">
        <v>272</v>
      </c>
      <c r="B30" s="50" t="s">
        <v>273</v>
      </c>
      <c r="C30" s="76"/>
      <c r="D30" s="76" t="s">
        <v>253</v>
      </c>
      <c r="E30" s="76"/>
      <c r="F30" s="76"/>
      <c r="G30" s="76"/>
      <c r="H30" s="76"/>
      <c r="I30" s="76"/>
      <c r="J30" s="76"/>
      <c r="K30" s="76" t="s">
        <v>253</v>
      </c>
      <c r="L30" s="76"/>
      <c r="M30" s="76"/>
      <c r="N30" s="76"/>
      <c r="O30" s="77" t="s">
        <v>253</v>
      </c>
      <c r="P30" s="76"/>
      <c r="Q30" s="76"/>
      <c r="R30" s="77" t="s">
        <v>253</v>
      </c>
      <c r="S30" s="76"/>
      <c r="T30" s="76"/>
      <c r="U30" s="76"/>
      <c r="V30" s="77" t="s">
        <v>253</v>
      </c>
      <c r="W30" s="76"/>
      <c r="X30" s="76"/>
      <c r="Y30" s="77" t="s">
        <v>253</v>
      </c>
      <c r="Z30" s="76"/>
      <c r="AA30" s="76"/>
      <c r="AB30" s="76"/>
      <c r="AC30" s="77" t="s">
        <v>253</v>
      </c>
      <c r="AD30" s="76"/>
      <c r="AE30" s="76"/>
      <c r="AF30" s="76"/>
      <c r="AG30" s="76"/>
      <c r="AH30" s="51">
        <f t="shared" si="3"/>
        <v>7</v>
      </c>
      <c r="AI30" s="51">
        <f t="shared" si="4"/>
        <v>0</v>
      </c>
      <c r="AJ30" s="51">
        <f t="shared" si="5"/>
        <v>2</v>
      </c>
      <c r="AK30" s="78"/>
    </row>
    <row r="31" ht="15.75" customHeight="1">
      <c r="A31" s="50" t="s">
        <v>274</v>
      </c>
      <c r="B31" s="50" t="s">
        <v>275</v>
      </c>
      <c r="C31" s="76"/>
      <c r="D31" s="76" t="s">
        <v>253</v>
      </c>
      <c r="E31" s="76"/>
      <c r="F31" s="76"/>
      <c r="G31" s="76"/>
      <c r="H31" s="76"/>
      <c r="I31" s="76"/>
      <c r="J31" s="76"/>
      <c r="K31" s="76" t="s">
        <v>253</v>
      </c>
      <c r="L31" s="76"/>
      <c r="M31" s="76"/>
      <c r="N31" s="76"/>
      <c r="O31" s="77" t="s">
        <v>253</v>
      </c>
      <c r="P31" s="76"/>
      <c r="Q31" s="76"/>
      <c r="R31" s="77" t="s">
        <v>253</v>
      </c>
      <c r="S31" s="76"/>
      <c r="T31" s="76"/>
      <c r="U31" s="76"/>
      <c r="V31" s="77" t="s">
        <v>253</v>
      </c>
      <c r="W31" s="76"/>
      <c r="X31" s="76"/>
      <c r="Y31" s="77" t="s">
        <v>254</v>
      </c>
      <c r="Z31" s="76"/>
      <c r="AA31" s="76"/>
      <c r="AB31" s="76"/>
      <c r="AC31" s="77" t="s">
        <v>253</v>
      </c>
      <c r="AD31" s="76"/>
      <c r="AE31" s="76"/>
      <c r="AF31" s="76"/>
      <c r="AG31" s="76"/>
      <c r="AH31" s="51">
        <f t="shared" si="3"/>
        <v>6</v>
      </c>
      <c r="AI31" s="51">
        <f t="shared" si="4"/>
        <v>1</v>
      </c>
      <c r="AJ31" s="51">
        <f t="shared" si="5"/>
        <v>2</v>
      </c>
      <c r="AK31" s="78"/>
    </row>
    <row r="32" ht="15.75" customHeight="1">
      <c r="A32" s="50" t="s">
        <v>276</v>
      </c>
      <c r="B32" s="50" t="s">
        <v>277</v>
      </c>
      <c r="C32" s="76"/>
      <c r="D32" s="76" t="s">
        <v>253</v>
      </c>
      <c r="E32" s="76"/>
      <c r="F32" s="76"/>
      <c r="G32" s="76"/>
      <c r="H32" s="76"/>
      <c r="I32" s="76"/>
      <c r="J32" s="76"/>
      <c r="K32" s="76" t="s">
        <v>253</v>
      </c>
      <c r="L32" s="76"/>
      <c r="M32" s="76"/>
      <c r="N32" s="76"/>
      <c r="O32" s="77" t="s">
        <v>253</v>
      </c>
      <c r="P32" s="76"/>
      <c r="Q32" s="76"/>
      <c r="R32" s="77" t="s">
        <v>253</v>
      </c>
      <c r="S32" s="76"/>
      <c r="T32" s="76"/>
      <c r="U32" s="76"/>
      <c r="V32" s="77" t="s">
        <v>253</v>
      </c>
      <c r="W32" s="76"/>
      <c r="X32" s="76"/>
      <c r="Y32" s="77" t="s">
        <v>253</v>
      </c>
      <c r="Z32" s="76"/>
      <c r="AA32" s="76"/>
      <c r="AB32" s="76"/>
      <c r="AC32" s="77" t="s">
        <v>254</v>
      </c>
      <c r="AD32" s="76"/>
      <c r="AE32" s="76"/>
      <c r="AF32" s="76"/>
      <c r="AG32" s="76"/>
      <c r="AH32" s="51">
        <f t="shared" si="3"/>
        <v>6</v>
      </c>
      <c r="AI32" s="51">
        <f t="shared" si="4"/>
        <v>1</v>
      </c>
      <c r="AJ32" s="51">
        <f t="shared" si="5"/>
        <v>2</v>
      </c>
      <c r="AK32" s="78"/>
    </row>
    <row r="33" ht="15.75" customHeight="1">
      <c r="A33" s="50" t="s">
        <v>278</v>
      </c>
      <c r="B33" s="50" t="s">
        <v>279</v>
      </c>
      <c r="C33" s="76"/>
      <c r="D33" s="76" t="s">
        <v>253</v>
      </c>
      <c r="E33" s="76"/>
      <c r="F33" s="76"/>
      <c r="G33" s="76"/>
      <c r="H33" s="76"/>
      <c r="I33" s="76"/>
      <c r="J33" s="76"/>
      <c r="K33" s="76" t="s">
        <v>253</v>
      </c>
      <c r="L33" s="76"/>
      <c r="M33" s="76"/>
      <c r="N33" s="76"/>
      <c r="O33" s="77" t="s">
        <v>253</v>
      </c>
      <c r="P33" s="76"/>
      <c r="Q33" s="76"/>
      <c r="R33" s="77" t="s">
        <v>253</v>
      </c>
      <c r="S33" s="76"/>
      <c r="T33" s="76"/>
      <c r="U33" s="76"/>
      <c r="V33" s="77" t="s">
        <v>253</v>
      </c>
      <c r="W33" s="76"/>
      <c r="X33" s="76"/>
      <c r="Y33" s="77" t="s">
        <v>254</v>
      </c>
      <c r="Z33" s="76"/>
      <c r="AA33" s="76"/>
      <c r="AB33" s="76"/>
      <c r="AC33" s="77" t="s">
        <v>254</v>
      </c>
      <c r="AD33" s="76"/>
      <c r="AE33" s="76"/>
      <c r="AF33" s="76"/>
      <c r="AG33" s="76"/>
      <c r="AH33" s="51">
        <f t="shared" si="3"/>
        <v>5</v>
      </c>
      <c r="AI33" s="51">
        <f t="shared" si="4"/>
        <v>2</v>
      </c>
      <c r="AJ33" s="51">
        <f t="shared" si="5"/>
        <v>2</v>
      </c>
      <c r="AK33" s="78"/>
    </row>
    <row r="34" ht="15.75" customHeight="1">
      <c r="A34" s="50" t="s">
        <v>282</v>
      </c>
      <c r="B34" s="50" t="s">
        <v>283</v>
      </c>
      <c r="C34" s="76"/>
      <c r="D34" s="76" t="s">
        <v>253</v>
      </c>
      <c r="E34" s="76"/>
      <c r="F34" s="76"/>
      <c r="G34" s="76"/>
      <c r="H34" s="76"/>
      <c r="I34" s="76"/>
      <c r="J34" s="76"/>
      <c r="K34" s="76" t="s">
        <v>254</v>
      </c>
      <c r="L34" s="76"/>
      <c r="M34" s="76"/>
      <c r="N34" s="76"/>
      <c r="O34" s="77" t="s">
        <v>253</v>
      </c>
      <c r="P34" s="76"/>
      <c r="Q34" s="76"/>
      <c r="R34" s="77" t="s">
        <v>253</v>
      </c>
      <c r="S34" s="76"/>
      <c r="T34" s="76"/>
      <c r="U34" s="76"/>
      <c r="V34" s="77" t="s">
        <v>253</v>
      </c>
      <c r="W34" s="76"/>
      <c r="X34" s="76"/>
      <c r="Y34" s="77" t="s">
        <v>254</v>
      </c>
      <c r="Z34" s="76"/>
      <c r="AA34" s="76"/>
      <c r="AB34" s="76"/>
      <c r="AC34" s="77" t="s">
        <v>253</v>
      </c>
      <c r="AD34" s="76"/>
      <c r="AE34" s="76"/>
      <c r="AF34" s="76"/>
      <c r="AG34" s="76"/>
      <c r="AH34" s="51">
        <f t="shared" si="3"/>
        <v>5</v>
      </c>
      <c r="AI34" s="51">
        <f t="shared" si="4"/>
        <v>2</v>
      </c>
      <c r="AJ34" s="51">
        <f t="shared" si="5"/>
        <v>2</v>
      </c>
      <c r="AK34" s="78"/>
    </row>
    <row r="35" ht="15.75" customHeight="1">
      <c r="A35" s="50" t="s">
        <v>284</v>
      </c>
      <c r="B35" s="50" t="s">
        <v>285</v>
      </c>
      <c r="C35" s="76"/>
      <c r="D35" s="76" t="s">
        <v>253</v>
      </c>
      <c r="E35" s="76"/>
      <c r="F35" s="76"/>
      <c r="G35" s="76"/>
      <c r="H35" s="76"/>
      <c r="I35" s="76"/>
      <c r="J35" s="76"/>
      <c r="K35" s="76" t="s">
        <v>253</v>
      </c>
      <c r="L35" s="76"/>
      <c r="M35" s="76"/>
      <c r="N35" s="76"/>
      <c r="O35" s="77" t="s">
        <v>253</v>
      </c>
      <c r="P35" s="76"/>
      <c r="Q35" s="76"/>
      <c r="R35" s="77" t="s">
        <v>253</v>
      </c>
      <c r="S35" s="76"/>
      <c r="T35" s="76"/>
      <c r="U35" s="76"/>
      <c r="V35" s="77" t="s">
        <v>253</v>
      </c>
      <c r="W35" s="76"/>
      <c r="X35" s="76"/>
      <c r="Y35" s="77" t="s">
        <v>253</v>
      </c>
      <c r="Z35" s="76"/>
      <c r="AA35" s="76"/>
      <c r="AB35" s="76"/>
      <c r="AC35" s="77" t="s">
        <v>253</v>
      </c>
      <c r="AD35" s="76"/>
      <c r="AE35" s="76"/>
      <c r="AF35" s="76"/>
      <c r="AG35" s="76"/>
      <c r="AH35" s="51">
        <f t="shared" si="3"/>
        <v>7</v>
      </c>
      <c r="AI35" s="51">
        <f t="shared" si="4"/>
        <v>0</v>
      </c>
      <c r="AJ35" s="51">
        <f t="shared" si="5"/>
        <v>2</v>
      </c>
      <c r="AK35" s="78"/>
    </row>
    <row r="36" ht="15.75" customHeight="1">
      <c r="A36" s="50" t="s">
        <v>286</v>
      </c>
      <c r="B36" s="50" t="s">
        <v>287</v>
      </c>
      <c r="C36" s="76"/>
      <c r="D36" s="76" t="s">
        <v>253</v>
      </c>
      <c r="E36" s="76"/>
      <c r="F36" s="76"/>
      <c r="G36" s="76"/>
      <c r="H36" s="76"/>
      <c r="I36" s="76"/>
      <c r="J36" s="76"/>
      <c r="K36" s="76" t="s">
        <v>254</v>
      </c>
      <c r="L36" s="76"/>
      <c r="M36" s="76"/>
      <c r="N36" s="76"/>
      <c r="O36" s="77" t="s">
        <v>253</v>
      </c>
      <c r="P36" s="76"/>
      <c r="Q36" s="76"/>
      <c r="R36" s="77" t="s">
        <v>253</v>
      </c>
      <c r="S36" s="76"/>
      <c r="T36" s="76"/>
      <c r="U36" s="76"/>
      <c r="V36" s="77" t="s">
        <v>253</v>
      </c>
      <c r="W36" s="76"/>
      <c r="X36" s="76"/>
      <c r="Y36" s="77" t="s">
        <v>254</v>
      </c>
      <c r="Z36" s="76"/>
      <c r="AA36" s="76"/>
      <c r="AB36" s="76"/>
      <c r="AC36" s="77" t="s">
        <v>254</v>
      </c>
      <c r="AD36" s="76"/>
      <c r="AE36" s="76"/>
      <c r="AF36" s="76"/>
      <c r="AG36" s="76"/>
      <c r="AH36" s="51">
        <f t="shared" si="3"/>
        <v>4</v>
      </c>
      <c r="AI36" s="51">
        <f t="shared" si="4"/>
        <v>3</v>
      </c>
      <c r="AJ36" s="51">
        <f t="shared" si="5"/>
        <v>2</v>
      </c>
      <c r="AK36" s="78"/>
    </row>
    <row r="37" ht="15.75" customHeight="1">
      <c r="A37" s="50" t="s">
        <v>288</v>
      </c>
      <c r="B37" s="50" t="s">
        <v>289</v>
      </c>
      <c r="C37" s="76"/>
      <c r="D37" s="76"/>
      <c r="E37" s="76"/>
      <c r="F37" s="76"/>
      <c r="G37" s="76"/>
      <c r="H37" s="76"/>
      <c r="I37" s="76"/>
      <c r="J37" s="76"/>
      <c r="K37" s="76" t="s">
        <v>253</v>
      </c>
      <c r="L37" s="76"/>
      <c r="M37" s="76"/>
      <c r="N37" s="76"/>
      <c r="O37" s="77" t="s">
        <v>253</v>
      </c>
      <c r="P37" s="76"/>
      <c r="Q37" s="76"/>
      <c r="R37" s="77" t="s">
        <v>253</v>
      </c>
      <c r="S37" s="76"/>
      <c r="T37" s="76"/>
      <c r="U37" s="76"/>
      <c r="V37" s="77" t="s">
        <v>253</v>
      </c>
      <c r="W37" s="76"/>
      <c r="X37" s="76"/>
      <c r="Y37" s="77" t="s">
        <v>253</v>
      </c>
      <c r="Z37" s="76"/>
      <c r="AA37" s="76"/>
      <c r="AB37" s="76"/>
      <c r="AC37" s="77" t="s">
        <v>253</v>
      </c>
      <c r="AD37" s="76"/>
      <c r="AE37" s="76"/>
      <c r="AF37" s="76"/>
      <c r="AG37" s="76"/>
      <c r="AH37" s="51">
        <f t="shared" si="3"/>
        <v>6</v>
      </c>
      <c r="AI37" s="51">
        <f t="shared" si="4"/>
        <v>0</v>
      </c>
      <c r="AJ37" s="51">
        <f t="shared" si="5"/>
        <v>3</v>
      </c>
      <c r="AK37" s="78"/>
    </row>
    <row r="38" ht="15.75" customHeight="1">
      <c r="A38" s="50" t="s">
        <v>290</v>
      </c>
      <c r="B38" s="50" t="s">
        <v>291</v>
      </c>
      <c r="C38" s="76"/>
      <c r="D38" s="76"/>
      <c r="E38" s="76"/>
      <c r="F38" s="76"/>
      <c r="G38" s="76"/>
      <c r="H38" s="76"/>
      <c r="I38" s="76"/>
      <c r="J38" s="76"/>
      <c r="K38" s="76" t="s">
        <v>253</v>
      </c>
      <c r="L38" s="76"/>
      <c r="M38" s="76"/>
      <c r="N38" s="76"/>
      <c r="O38" s="77" t="s">
        <v>253</v>
      </c>
      <c r="P38" s="76"/>
      <c r="Q38" s="76"/>
      <c r="R38" s="77" t="s">
        <v>253</v>
      </c>
      <c r="S38" s="76"/>
      <c r="T38" s="76"/>
      <c r="U38" s="76"/>
      <c r="V38" s="77" t="s">
        <v>253</v>
      </c>
      <c r="W38" s="76"/>
      <c r="X38" s="76"/>
      <c r="Y38" s="77" t="s">
        <v>253</v>
      </c>
      <c r="Z38" s="76"/>
      <c r="AA38" s="76"/>
      <c r="AB38" s="76"/>
      <c r="AC38" s="77" t="s">
        <v>254</v>
      </c>
      <c r="AD38" s="76"/>
      <c r="AE38" s="76"/>
      <c r="AF38" s="76"/>
      <c r="AG38" s="76"/>
      <c r="AH38" s="51">
        <f t="shared" si="3"/>
        <v>5</v>
      </c>
      <c r="AI38" s="51">
        <f t="shared" si="4"/>
        <v>1</v>
      </c>
      <c r="AJ38" s="51">
        <f t="shared" si="5"/>
        <v>3</v>
      </c>
      <c r="AK38" s="78"/>
    </row>
    <row r="39" ht="15.75" customHeight="1">
      <c r="A39" s="50"/>
      <c r="B39" s="50"/>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51" t="str">
        <f t="shared" si="3"/>
        <v/>
      </c>
      <c r="AI39" s="51" t="str">
        <f t="shared" si="4"/>
        <v/>
      </c>
      <c r="AJ39" s="51" t="str">
        <f t="shared" si="5"/>
        <v/>
      </c>
      <c r="AK39" s="78"/>
    </row>
    <row r="40" ht="15.75" customHeight="1">
      <c r="A40" s="50"/>
      <c r="B40" s="50"/>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51" t="str">
        <f t="shared" si="3"/>
        <v/>
      </c>
      <c r="AI40" s="51" t="str">
        <f t="shared" si="4"/>
        <v/>
      </c>
      <c r="AJ40" s="51" t="str">
        <f t="shared" si="5"/>
        <v/>
      </c>
      <c r="AK40" s="78"/>
    </row>
    <row r="41" ht="15.75" customHeight="1">
      <c r="A41" s="50"/>
      <c r="B41" s="50"/>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c r="AF41" s="76"/>
      <c r="AG41" s="76"/>
      <c r="AH41" s="51" t="str">
        <f t="shared" si="3"/>
        <v/>
      </c>
      <c r="AI41" s="51" t="str">
        <f t="shared" si="4"/>
        <v/>
      </c>
      <c r="AJ41" s="51" t="str">
        <f t="shared" si="5"/>
        <v/>
      </c>
      <c r="AK41" s="78"/>
    </row>
    <row r="42" ht="15.75" customHeight="1">
      <c r="A42" s="50"/>
      <c r="B42" s="50"/>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51" t="str">
        <f t="shared" si="3"/>
        <v/>
      </c>
      <c r="AI42" s="51" t="str">
        <f t="shared" si="4"/>
        <v/>
      </c>
      <c r="AJ42" s="51" t="str">
        <f t="shared" si="5"/>
        <v/>
      </c>
      <c r="AK42" s="78"/>
    </row>
    <row r="43" ht="15.75" customHeight="1">
      <c r="A43" s="50"/>
      <c r="B43" s="50"/>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51" t="str">
        <f t="shared" si="3"/>
        <v/>
      </c>
      <c r="AI43" s="51" t="str">
        <f t="shared" si="4"/>
        <v/>
      </c>
      <c r="AJ43" s="51" t="str">
        <f t="shared" si="5"/>
        <v/>
      </c>
      <c r="AK43" s="78"/>
    </row>
    <row r="44" ht="15.75" customHeight="1">
      <c r="A44" s="50"/>
      <c r="B44" s="50"/>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51" t="str">
        <f t="shared" si="3"/>
        <v/>
      </c>
      <c r="AI44" s="51" t="str">
        <f t="shared" si="4"/>
        <v/>
      </c>
      <c r="AJ44" s="51" t="str">
        <f t="shared" si="5"/>
        <v/>
      </c>
      <c r="AK44" s="78"/>
    </row>
    <row r="45" ht="15.75" customHeight="1">
      <c r="A45" s="50"/>
      <c r="B45" s="50"/>
      <c r="C45" s="76"/>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51" t="str">
        <f t="shared" si="3"/>
        <v/>
      </c>
      <c r="AI45" s="51" t="str">
        <f t="shared" si="4"/>
        <v/>
      </c>
      <c r="AJ45" s="51" t="str">
        <f t="shared" si="5"/>
        <v/>
      </c>
      <c r="AK45" s="78"/>
    </row>
    <row r="46" ht="15.75" customHeight="1">
      <c r="A46" s="50"/>
      <c r="B46" s="50"/>
      <c r="C46" s="76"/>
      <c r="D46" s="76"/>
      <c r="E46" s="76"/>
      <c r="F46" s="76"/>
      <c r="G46" s="76"/>
      <c r="H46" s="76"/>
      <c r="I46" s="76"/>
      <c r="J46" s="76"/>
      <c r="K46" s="76"/>
      <c r="L46" s="76"/>
      <c r="M46" s="76"/>
      <c r="N46" s="76"/>
      <c r="O46" s="76"/>
      <c r="P46" s="76"/>
      <c r="Q46" s="76"/>
      <c r="R46" s="76"/>
      <c r="S46" s="76"/>
      <c r="T46" s="76"/>
      <c r="U46" s="76"/>
      <c r="V46" s="76"/>
      <c r="W46" s="76"/>
      <c r="X46" s="76"/>
      <c r="Y46" s="76"/>
      <c r="Z46" s="76"/>
      <c r="AA46" s="76"/>
      <c r="AB46" s="76"/>
      <c r="AC46" s="76"/>
      <c r="AD46" s="76"/>
      <c r="AE46" s="76"/>
      <c r="AF46" s="76"/>
      <c r="AG46" s="76"/>
      <c r="AH46" s="51" t="str">
        <f t="shared" si="3"/>
        <v/>
      </c>
      <c r="AI46" s="51" t="str">
        <f t="shared" si="4"/>
        <v/>
      </c>
      <c r="AJ46" s="51" t="str">
        <f t="shared" si="5"/>
        <v/>
      </c>
      <c r="AK46" s="78"/>
    </row>
    <row r="47" ht="15.75" customHeight="1">
      <c r="A47" s="50"/>
      <c r="B47" s="50"/>
      <c r="C47" s="76"/>
      <c r="D47" s="76"/>
      <c r="E47" s="76"/>
      <c r="F47" s="76"/>
      <c r="G47" s="76"/>
      <c r="H47" s="76"/>
      <c r="I47" s="76"/>
      <c r="J47" s="76"/>
      <c r="K47" s="76"/>
      <c r="L47" s="76"/>
      <c r="M47" s="76"/>
      <c r="N47" s="76"/>
      <c r="O47" s="76"/>
      <c r="P47" s="76"/>
      <c r="Q47" s="76"/>
      <c r="R47" s="76"/>
      <c r="S47" s="76"/>
      <c r="T47" s="76"/>
      <c r="U47" s="76"/>
      <c r="V47" s="76"/>
      <c r="W47" s="76"/>
      <c r="X47" s="76"/>
      <c r="Y47" s="76"/>
      <c r="Z47" s="76"/>
      <c r="AA47" s="76"/>
      <c r="AB47" s="76"/>
      <c r="AC47" s="76"/>
      <c r="AD47" s="76"/>
      <c r="AE47" s="76"/>
      <c r="AF47" s="76"/>
      <c r="AG47" s="76"/>
      <c r="AH47" s="51" t="str">
        <f t="shared" si="3"/>
        <v/>
      </c>
      <c r="AI47" s="51" t="str">
        <f t="shared" si="4"/>
        <v/>
      </c>
      <c r="AJ47" s="51" t="str">
        <f t="shared" si="5"/>
        <v/>
      </c>
      <c r="AK47" s="78"/>
    </row>
    <row r="48" ht="15.75" customHeight="1">
      <c r="A48" s="50"/>
      <c r="B48" s="50"/>
      <c r="C48" s="76"/>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51" t="str">
        <f t="shared" si="3"/>
        <v/>
      </c>
      <c r="AI48" s="51" t="str">
        <f t="shared" si="4"/>
        <v/>
      </c>
      <c r="AJ48" s="51" t="str">
        <f t="shared" si="5"/>
        <v/>
      </c>
      <c r="AK48" s="78"/>
    </row>
    <row r="49" ht="15.75" customHeight="1">
      <c r="A49" s="50"/>
      <c r="B49" s="50"/>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51" t="str">
        <f t="shared" si="3"/>
        <v/>
      </c>
      <c r="AI49" s="51" t="str">
        <f t="shared" si="4"/>
        <v/>
      </c>
      <c r="AJ49" s="51" t="str">
        <f t="shared" si="5"/>
        <v/>
      </c>
      <c r="AK49" s="78"/>
    </row>
    <row r="50" ht="15.75" customHeight="1">
      <c r="A50" s="50"/>
      <c r="B50" s="50"/>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51"/>
      <c r="AI50" s="51"/>
      <c r="AJ50" s="51"/>
      <c r="AK50" s="14"/>
    </row>
    <row r="51" ht="15.75" customHeight="1">
      <c r="A51" s="50"/>
      <c r="B51" s="50"/>
      <c r="C51" s="76"/>
      <c r="D51" s="76"/>
      <c r="E51" s="76"/>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51"/>
      <c r="AI51" s="51"/>
      <c r="AJ51" s="51"/>
      <c r="AK51" s="14"/>
    </row>
    <row r="52" ht="15.75" customHeight="1">
      <c r="A52" s="50"/>
      <c r="B52" s="50"/>
      <c r="C52" s="76"/>
      <c r="D52" s="76"/>
      <c r="E52" s="76"/>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51"/>
      <c r="AI52" s="51"/>
      <c r="AJ52" s="51"/>
      <c r="AK52" s="14"/>
    </row>
    <row r="53" ht="15.75" customHeight="1">
      <c r="A53" s="50"/>
      <c r="B53" s="50"/>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51"/>
      <c r="AI53" s="51"/>
      <c r="AJ53" s="51"/>
      <c r="AK53" s="14"/>
    </row>
    <row r="54" ht="15.75" customHeight="1">
      <c r="A54" s="50"/>
      <c r="B54" s="50"/>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51"/>
      <c r="AI54" s="51"/>
      <c r="AJ54" s="51"/>
      <c r="AK54" s="14"/>
    </row>
    <row r="55" ht="15.75" customHeight="1">
      <c r="A55" s="50"/>
      <c r="B55" s="50"/>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51"/>
      <c r="AI55" s="51"/>
      <c r="AJ55" s="51"/>
      <c r="AK55" s="14"/>
    </row>
    <row r="56" ht="15.75" customHeight="1">
      <c r="A56" s="50"/>
      <c r="B56" s="50"/>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51"/>
      <c r="AI56" s="51"/>
      <c r="AJ56" s="51"/>
      <c r="AK56" s="14"/>
    </row>
    <row r="57" ht="15.75" customHeight="1">
      <c r="A57" s="50"/>
      <c r="B57" s="50"/>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51"/>
      <c r="AI57" s="51"/>
      <c r="AJ57" s="51"/>
      <c r="AK57" s="14"/>
    </row>
    <row r="58" ht="15.75" customHeight="1">
      <c r="A58" s="50"/>
      <c r="B58" s="50"/>
      <c r="C58" s="76"/>
      <c r="D58" s="76"/>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51"/>
      <c r="AI58" s="51"/>
      <c r="AJ58" s="51"/>
      <c r="AK58" s="14"/>
    </row>
    <row r="59" ht="15.75" customHeight="1">
      <c r="A59" s="50"/>
      <c r="B59" s="50"/>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51"/>
      <c r="AI59" s="51"/>
      <c r="AJ59" s="51"/>
      <c r="AK59" s="14"/>
    </row>
    <row r="60" ht="15.75" customHeight="1">
      <c r="A60" s="50"/>
      <c r="B60" s="50"/>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51"/>
      <c r="AI60" s="51"/>
      <c r="AJ60" s="51"/>
      <c r="AK60" s="14"/>
    </row>
    <row r="61" ht="15.75" customHeight="1">
      <c r="A61" s="50"/>
      <c r="B61" s="50"/>
      <c r="C61" s="76"/>
      <c r="D61" s="76"/>
      <c r="E61" s="76"/>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51"/>
      <c r="AI61" s="51"/>
      <c r="AJ61" s="51"/>
      <c r="AK61" s="14"/>
    </row>
    <row r="62" ht="15.75" customHeight="1">
      <c r="A62" s="50"/>
      <c r="B62" s="50"/>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51"/>
      <c r="AI62" s="51"/>
      <c r="AJ62" s="51"/>
      <c r="AK62" s="14"/>
    </row>
    <row r="63" ht="15.75" customHeight="1">
      <c r="A63" s="50"/>
      <c r="B63" s="50"/>
      <c r="C63" s="76"/>
      <c r="D63" s="76"/>
      <c r="E63" s="76"/>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51"/>
      <c r="AI63" s="51"/>
      <c r="AJ63" s="51"/>
      <c r="AK63" s="14"/>
    </row>
    <row r="64" ht="15.75" customHeight="1">
      <c r="A64" s="50"/>
      <c r="B64" s="50"/>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51"/>
      <c r="AI64" s="51"/>
      <c r="AJ64" s="51"/>
      <c r="AK64" s="14"/>
    </row>
    <row r="65" ht="15.75" customHeight="1">
      <c r="A65" s="50"/>
      <c r="B65" s="50"/>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51"/>
      <c r="AI65" s="51"/>
      <c r="AJ65" s="51"/>
      <c r="AK65" s="14"/>
    </row>
    <row r="66" ht="15.75" customHeight="1">
      <c r="A66" s="50"/>
      <c r="B66" s="50"/>
      <c r="C66" s="76"/>
      <c r="D66" s="76"/>
      <c r="E66" s="76"/>
      <c r="F66" s="76"/>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51"/>
      <c r="AI66" s="51"/>
      <c r="AJ66" s="51"/>
      <c r="AK66" s="14"/>
    </row>
    <row r="67" ht="15.75" customHeight="1">
      <c r="A67" s="50"/>
      <c r="B67" s="50"/>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51"/>
      <c r="AI67" s="51"/>
      <c r="AJ67" s="51"/>
      <c r="AK67" s="14"/>
    </row>
    <row r="68" ht="15.75" customHeight="1">
      <c r="A68" s="50"/>
      <c r="B68" s="50"/>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51"/>
      <c r="AI68" s="51"/>
      <c r="AJ68" s="51"/>
      <c r="AK68" s="14"/>
    </row>
    <row r="69" ht="15.75" customHeight="1">
      <c r="A69" s="50"/>
      <c r="B69" s="50"/>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51"/>
      <c r="AI69" s="51"/>
      <c r="AJ69" s="51"/>
      <c r="AK69" s="14"/>
    </row>
    <row r="70" ht="15.75" customHeight="1">
      <c r="A70" s="50"/>
      <c r="B70" s="50"/>
      <c r="C70" s="76"/>
      <c r="D70" s="76"/>
      <c r="E70" s="76"/>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51"/>
      <c r="AI70" s="51"/>
      <c r="AJ70" s="51"/>
      <c r="AK70" s="14"/>
    </row>
    <row r="71" ht="15.75" customHeight="1">
      <c r="A71" s="50"/>
      <c r="B71" s="50"/>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51"/>
      <c r="AI71" s="51"/>
      <c r="AJ71" s="51"/>
      <c r="AK71" s="14"/>
    </row>
    <row r="72" ht="15.75" customHeight="1">
      <c r="A72" s="50"/>
      <c r="B72" s="50"/>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51"/>
      <c r="AI72" s="51"/>
      <c r="AJ72" s="51"/>
      <c r="AK72" s="14"/>
    </row>
    <row r="73" ht="15.75" customHeight="1">
      <c r="A73" s="50"/>
      <c r="B73" s="50"/>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51"/>
      <c r="AI73" s="51"/>
      <c r="AJ73" s="51"/>
      <c r="AK73" s="14"/>
    </row>
    <row r="74" ht="15.75" customHeight="1">
      <c r="A74" s="50"/>
      <c r="B74" s="50"/>
      <c r="C74" s="76"/>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51"/>
      <c r="AI74" s="51"/>
      <c r="AJ74" s="51"/>
      <c r="AK74" s="14"/>
    </row>
    <row r="75" ht="15.75" customHeight="1">
      <c r="A75" s="50"/>
      <c r="B75" s="50"/>
      <c r="C75" s="76"/>
      <c r="D75" s="76"/>
      <c r="E75" s="76"/>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51"/>
      <c r="AI75" s="51"/>
      <c r="AJ75" s="51"/>
      <c r="AK75" s="14"/>
    </row>
    <row r="76" ht="15.75" customHeight="1">
      <c r="A76" s="50"/>
      <c r="B76" s="50"/>
      <c r="C76" s="76"/>
      <c r="D76" s="76"/>
      <c r="E76" s="76"/>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51"/>
      <c r="AI76" s="51"/>
      <c r="AJ76" s="51"/>
      <c r="AK76" s="14"/>
    </row>
    <row r="77" ht="15.75" customHeight="1">
      <c r="A77" s="50"/>
      <c r="B77" s="50"/>
      <c r="C77" s="76"/>
      <c r="D77" s="76"/>
      <c r="E77" s="76"/>
      <c r="F77" s="76"/>
      <c r="G77" s="76"/>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51"/>
      <c r="AI77" s="51"/>
      <c r="AJ77" s="51"/>
      <c r="AK77" s="14"/>
    </row>
    <row r="78" ht="15.75" customHeight="1">
      <c r="A78" s="50"/>
      <c r="B78" s="50"/>
      <c r="C78" s="76"/>
      <c r="D78" s="76"/>
      <c r="E78" s="76"/>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51"/>
      <c r="AI78" s="51"/>
      <c r="AJ78" s="51"/>
      <c r="AK78" s="14"/>
    </row>
    <row r="79" ht="15.75" customHeight="1">
      <c r="A79" s="50"/>
      <c r="B79" s="50"/>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51"/>
      <c r="AI79" s="51"/>
      <c r="AJ79" s="51"/>
      <c r="AK79" s="14"/>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AK1"/>
  </mergeCells>
  <conditionalFormatting sqref="C21:AG49">
    <cfRule type="expression" dxfId="5" priority="1">
      <formula>C$19&lt;&gt;1</formula>
    </cfRule>
  </conditionalFormatting>
  <conditionalFormatting sqref="C21:AG79">
    <cfRule type="expression" dxfId="0" priority="2">
      <formula>C21="C"</formula>
    </cfRule>
  </conditionalFormatting>
  <conditionalFormatting sqref="C21:AG79">
    <cfRule type="expression" dxfId="1" priority="3">
      <formula>C21="N"</formula>
    </cfRule>
  </conditionalFormatting>
  <conditionalFormatting sqref="C17:AG20">
    <cfRule type="expression" dxfId="6" priority="4">
      <formula>C$19=1</formula>
    </cfRule>
  </conditionalFormatting>
  <dataValidations>
    <dataValidation type="list" allowBlank="1" sqref="C21:AG79">
      <formula1>"C,N"</formula1>
    </dataValidation>
  </dataValidations>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24.0"/>
    <col customWidth="1" min="3" max="33" width="5.0"/>
    <col customWidth="1" min="34" max="36" width="13.0"/>
    <col customWidth="1" min="37" max="37" width="42.0"/>
  </cols>
  <sheetData>
    <row r="1" ht="30.0" customHeight="1">
      <c r="A1" s="64" t="s">
        <v>214</v>
      </c>
    </row>
    <row r="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ht="18.0" customHeight="1">
      <c r="A3" s="67" t="s">
        <v>10</v>
      </c>
      <c r="B3" s="51" t="str">
        <f>IFERROR(DANH_MUC_LOP!$B$5,"")</f>
        <v>L07</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ht="18.0" customHeight="1">
      <c r="A4" s="67" t="s">
        <v>76</v>
      </c>
      <c r="B4" s="68">
        <f>IFERROR(DIEU_KHIEN!$B$4,"")</f>
        <v>46235</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row>
    <row r="5" ht="18.0" customHeight="1">
      <c r="A5" s="67" t="s">
        <v>19</v>
      </c>
      <c r="B5" s="51" t="str">
        <f>IFERROR(DANH_MUC_LOP!$C$5,"")</f>
        <v>Toán 7 Thầy Cường</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row>
    <row r="6" ht="18.0" customHeight="1">
      <c r="A6" s="67" t="s">
        <v>21</v>
      </c>
      <c r="B6" s="51">
        <f>IFERROR(DANH_MUC_LOP!$D$5,"")</f>
        <v>7</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row>
    <row r="7" ht="18.0" customHeight="1">
      <c r="A7" s="67" t="s">
        <v>22</v>
      </c>
      <c r="B7" s="51" t="str">
        <f>IFERROR(DANH_MUC_LOP!$E$5,"")</f>
        <v>Toán</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row>
    <row r="8" ht="18.0" customHeight="1">
      <c r="A8" s="67" t="s">
        <v>23</v>
      </c>
      <c r="B8" s="43">
        <f>IFERROR(DANH_MUC_LOP!$F$5,"")</f>
        <v>50000</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row>
    <row r="9" ht="18.0" customHeight="1">
      <c r="A9" s="67" t="s">
        <v>195</v>
      </c>
      <c r="B9" s="51" t="str">
        <f>IFERROR(DANH_MUC_LOP!$G$5,"")</f>
        <v>Không</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row>
    <row r="10" ht="18.0" customHeight="1">
      <c r="A10" s="67" t="s">
        <v>197</v>
      </c>
      <c r="B10" s="51" t="str">
        <f>IFERROR(DANH_MUC_LOP!$H$5,"")</f>
        <v>Có</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row>
    <row r="11" ht="18.0" customHeight="1">
      <c r="A11" s="67" t="s">
        <v>199</v>
      </c>
      <c r="B11" s="51" t="str">
        <f>IFERROR(DANH_MUC_LOP!$I$5,"")</f>
        <v>Không</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row>
    <row r="12" ht="18.0" customHeight="1">
      <c r="A12" s="67" t="s">
        <v>201</v>
      </c>
      <c r="B12" s="51" t="str">
        <f>IFERROR(DANH_MUC_LOP!$J$5,"")</f>
        <v>Không</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row>
    <row r="13" ht="18.0" customHeight="1">
      <c r="A13" s="67" t="s">
        <v>203</v>
      </c>
      <c r="B13" s="51" t="str">
        <f>IFERROR(DANH_MUC_LOP!$K$5,"")</f>
        <v>Có</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row>
    <row r="14" ht="18.0" customHeight="1">
      <c r="A14" s="67" t="s">
        <v>205</v>
      </c>
      <c r="B14" s="51" t="str">
        <f>IFERROR(DANH_MUC_LOP!$L$5,"")</f>
        <v>Không</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ht="18.0" customHeight="1">
      <c r="A15" s="67" t="s">
        <v>206</v>
      </c>
      <c r="B15" s="51" t="str">
        <f>IFERROR(DANH_MUC_LOP!$M$5,"")</f>
        <v>Không</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row>
    <row r="16" ht="18.0" customHeight="1">
      <c r="A16" s="67" t="s">
        <v>209</v>
      </c>
      <c r="B16" s="51">
        <f>IFERROR(IF(DANH_MUC_LOP!$R$5&gt;0,DANH_MUC_LOP!$R$5,SUM(C19:AG19)),SUM(C19:AG19))</f>
        <v>8</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row>
    <row r="17">
      <c r="A17" s="4" t="s">
        <v>212</v>
      </c>
      <c r="B17" s="4"/>
      <c r="C17" s="71">
        <v>1.0</v>
      </c>
      <c r="D17" s="71">
        <v>2.0</v>
      </c>
      <c r="E17" s="71">
        <v>3.0</v>
      </c>
      <c r="F17" s="71">
        <v>4.0</v>
      </c>
      <c r="G17" s="71">
        <v>5.0</v>
      </c>
      <c r="H17" s="71">
        <v>6.0</v>
      </c>
      <c r="I17" s="71">
        <v>7.0</v>
      </c>
      <c r="J17" s="71">
        <v>8.0</v>
      </c>
      <c r="K17" s="71">
        <v>9.0</v>
      </c>
      <c r="L17" s="71">
        <v>10.0</v>
      </c>
      <c r="M17" s="71">
        <v>11.0</v>
      </c>
      <c r="N17" s="71">
        <v>12.0</v>
      </c>
      <c r="O17" s="71">
        <v>13.0</v>
      </c>
      <c r="P17" s="71">
        <v>14.0</v>
      </c>
      <c r="Q17" s="71">
        <v>15.0</v>
      </c>
      <c r="R17" s="71">
        <v>16.0</v>
      </c>
      <c r="S17" s="71">
        <v>17.0</v>
      </c>
      <c r="T17" s="71">
        <v>18.0</v>
      </c>
      <c r="U17" s="71">
        <v>19.0</v>
      </c>
      <c r="V17" s="71">
        <v>20.0</v>
      </c>
      <c r="W17" s="71">
        <v>21.0</v>
      </c>
      <c r="X17" s="71">
        <v>22.0</v>
      </c>
      <c r="Y17" s="71">
        <v>23.0</v>
      </c>
      <c r="Z17" s="71">
        <v>24.0</v>
      </c>
      <c r="AA17" s="71">
        <v>25.0</v>
      </c>
      <c r="AB17" s="71">
        <v>26.0</v>
      </c>
      <c r="AC17" s="71">
        <v>27.0</v>
      </c>
      <c r="AD17" s="71">
        <v>28.0</v>
      </c>
      <c r="AE17" s="71">
        <v>29.0</v>
      </c>
      <c r="AF17" s="71">
        <v>30.0</v>
      </c>
      <c r="AG17" s="71">
        <v>31.0</v>
      </c>
      <c r="AH17" s="72"/>
      <c r="AI17" s="72"/>
      <c r="AJ17" s="72"/>
      <c r="AK17" s="72"/>
    </row>
    <row r="18">
      <c r="A18" s="4" t="s">
        <v>5</v>
      </c>
      <c r="B18" s="4"/>
      <c r="C18" s="74">
        <f t="shared" ref="C18:AG18" si="1">IFERROR(IF(MONTH(DATE(YEAR($B$4),MONTH($B$4),C$17))=MONTH($B$4),DATE(YEAR($B$4),MONTH($B$4),C$17),""),"")</f>
        <v>46235</v>
      </c>
      <c r="D18" s="74">
        <f t="shared" si="1"/>
        <v>46236</v>
      </c>
      <c r="E18" s="74">
        <f t="shared" si="1"/>
        <v>46237</v>
      </c>
      <c r="F18" s="74">
        <f t="shared" si="1"/>
        <v>46238</v>
      </c>
      <c r="G18" s="74">
        <f t="shared" si="1"/>
        <v>46239</v>
      </c>
      <c r="H18" s="74">
        <f t="shared" si="1"/>
        <v>46240</v>
      </c>
      <c r="I18" s="74">
        <f t="shared" si="1"/>
        <v>46241</v>
      </c>
      <c r="J18" s="74">
        <f t="shared" si="1"/>
        <v>46242</v>
      </c>
      <c r="K18" s="74">
        <f t="shared" si="1"/>
        <v>46243</v>
      </c>
      <c r="L18" s="74">
        <f t="shared" si="1"/>
        <v>46244</v>
      </c>
      <c r="M18" s="74">
        <f t="shared" si="1"/>
        <v>46245</v>
      </c>
      <c r="N18" s="74">
        <f t="shared" si="1"/>
        <v>46246</v>
      </c>
      <c r="O18" s="74">
        <f t="shared" si="1"/>
        <v>46247</v>
      </c>
      <c r="P18" s="74">
        <f t="shared" si="1"/>
        <v>46248</v>
      </c>
      <c r="Q18" s="74">
        <f t="shared" si="1"/>
        <v>46249</v>
      </c>
      <c r="R18" s="74">
        <f t="shared" si="1"/>
        <v>46250</v>
      </c>
      <c r="S18" s="74">
        <f t="shared" si="1"/>
        <v>46251</v>
      </c>
      <c r="T18" s="74">
        <f t="shared" si="1"/>
        <v>46252</v>
      </c>
      <c r="U18" s="74">
        <f t="shared" si="1"/>
        <v>46253</v>
      </c>
      <c r="V18" s="74">
        <f t="shared" si="1"/>
        <v>46254</v>
      </c>
      <c r="W18" s="74">
        <f t="shared" si="1"/>
        <v>46255</v>
      </c>
      <c r="X18" s="74">
        <f t="shared" si="1"/>
        <v>46256</v>
      </c>
      <c r="Y18" s="74">
        <f t="shared" si="1"/>
        <v>46257</v>
      </c>
      <c r="Z18" s="74">
        <f t="shared" si="1"/>
        <v>46258</v>
      </c>
      <c r="AA18" s="74">
        <f t="shared" si="1"/>
        <v>46259</v>
      </c>
      <c r="AB18" s="74">
        <f t="shared" si="1"/>
        <v>46260</v>
      </c>
      <c r="AC18" s="74">
        <f t="shared" si="1"/>
        <v>46261</v>
      </c>
      <c r="AD18" s="74">
        <f t="shared" si="1"/>
        <v>46262</v>
      </c>
      <c r="AE18" s="74">
        <f t="shared" si="1"/>
        <v>46263</v>
      </c>
      <c r="AF18" s="74">
        <f t="shared" si="1"/>
        <v>46264</v>
      </c>
      <c r="AG18" s="74">
        <f t="shared" si="1"/>
        <v>46265</v>
      </c>
      <c r="AH18" s="72"/>
      <c r="AI18" s="72"/>
      <c r="AJ18" s="72"/>
      <c r="AK18" s="72"/>
    </row>
    <row r="19">
      <c r="A19" s="4" t="s">
        <v>215</v>
      </c>
      <c r="B19" s="4"/>
      <c r="C19" s="71">
        <f t="shared" ref="C19:AG19" si="2">IFERROR(IF(C18="","",IF(CHOOSE(WEEKDAY(C18,2),$B$9,$B$10,$B$11,$B$12,$B$13,$B$14,$B$15)="Có",1,0)),"")</f>
        <v>0</v>
      </c>
      <c r="D19" s="71">
        <f t="shared" si="2"/>
        <v>0</v>
      </c>
      <c r="E19" s="71">
        <f t="shared" si="2"/>
        <v>0</v>
      </c>
      <c r="F19" s="71">
        <f t="shared" si="2"/>
        <v>1</v>
      </c>
      <c r="G19" s="71">
        <f t="shared" si="2"/>
        <v>0</v>
      </c>
      <c r="H19" s="71">
        <f t="shared" si="2"/>
        <v>0</v>
      </c>
      <c r="I19" s="71">
        <f t="shared" si="2"/>
        <v>1</v>
      </c>
      <c r="J19" s="71">
        <f t="shared" si="2"/>
        <v>0</v>
      </c>
      <c r="K19" s="71">
        <f t="shared" si="2"/>
        <v>0</v>
      </c>
      <c r="L19" s="71">
        <f t="shared" si="2"/>
        <v>0</v>
      </c>
      <c r="M19" s="71">
        <f t="shared" si="2"/>
        <v>1</v>
      </c>
      <c r="N19" s="71">
        <f t="shared" si="2"/>
        <v>0</v>
      </c>
      <c r="O19" s="71">
        <f t="shared" si="2"/>
        <v>0</v>
      </c>
      <c r="P19" s="71">
        <f t="shared" si="2"/>
        <v>1</v>
      </c>
      <c r="Q19" s="71">
        <f t="shared" si="2"/>
        <v>0</v>
      </c>
      <c r="R19" s="71">
        <f t="shared" si="2"/>
        <v>0</v>
      </c>
      <c r="S19" s="71">
        <f t="shared" si="2"/>
        <v>0</v>
      </c>
      <c r="T19" s="71">
        <f t="shared" si="2"/>
        <v>1</v>
      </c>
      <c r="U19" s="71">
        <f t="shared" si="2"/>
        <v>0</v>
      </c>
      <c r="V19" s="71">
        <f t="shared" si="2"/>
        <v>0</v>
      </c>
      <c r="W19" s="71">
        <f t="shared" si="2"/>
        <v>1</v>
      </c>
      <c r="X19" s="71">
        <f t="shared" si="2"/>
        <v>0</v>
      </c>
      <c r="Y19" s="71">
        <f t="shared" si="2"/>
        <v>0</v>
      </c>
      <c r="Z19" s="71">
        <f t="shared" si="2"/>
        <v>0</v>
      </c>
      <c r="AA19" s="71">
        <f t="shared" si="2"/>
        <v>1</v>
      </c>
      <c r="AB19" s="71">
        <f t="shared" si="2"/>
        <v>0</v>
      </c>
      <c r="AC19" s="71">
        <f t="shared" si="2"/>
        <v>0</v>
      </c>
      <c r="AD19" s="71">
        <f t="shared" si="2"/>
        <v>1</v>
      </c>
      <c r="AE19" s="71">
        <f t="shared" si="2"/>
        <v>0</v>
      </c>
      <c r="AF19" s="71">
        <f t="shared" si="2"/>
        <v>0</v>
      </c>
      <c r="AG19" s="71">
        <f t="shared" si="2"/>
        <v>0</v>
      </c>
      <c r="AH19" s="72"/>
      <c r="AI19" s="72"/>
      <c r="AJ19" s="72"/>
      <c r="AK19" s="72"/>
    </row>
    <row r="20" ht="27.75" customHeight="1">
      <c r="A20" s="5" t="s">
        <v>14</v>
      </c>
      <c r="B20" s="5" t="s">
        <v>16</v>
      </c>
      <c r="C20" s="5" t="s">
        <v>216</v>
      </c>
      <c r="D20" s="5" t="s">
        <v>217</v>
      </c>
      <c r="E20" s="5" t="s">
        <v>218</v>
      </c>
      <c r="F20" s="5" t="s">
        <v>219</v>
      </c>
      <c r="G20" s="5" t="s">
        <v>220</v>
      </c>
      <c r="H20" s="5" t="s">
        <v>221</v>
      </c>
      <c r="I20" s="5" t="s">
        <v>222</v>
      </c>
      <c r="J20" s="5" t="s">
        <v>223</v>
      </c>
      <c r="K20" s="5" t="s">
        <v>224</v>
      </c>
      <c r="L20" s="5" t="s">
        <v>225</v>
      </c>
      <c r="M20" s="5" t="s">
        <v>226</v>
      </c>
      <c r="N20" s="5" t="s">
        <v>227</v>
      </c>
      <c r="O20" s="5" t="s">
        <v>228</v>
      </c>
      <c r="P20" s="5" t="s">
        <v>229</v>
      </c>
      <c r="Q20" s="5" t="s">
        <v>230</v>
      </c>
      <c r="R20" s="5" t="s">
        <v>231</v>
      </c>
      <c r="S20" s="5" t="s">
        <v>232</v>
      </c>
      <c r="T20" s="5" t="s">
        <v>233</v>
      </c>
      <c r="U20" s="5" t="s">
        <v>234</v>
      </c>
      <c r="V20" s="5" t="s">
        <v>235</v>
      </c>
      <c r="W20" s="5" t="s">
        <v>236</v>
      </c>
      <c r="X20" s="5" t="s">
        <v>237</v>
      </c>
      <c r="Y20" s="5" t="s">
        <v>238</v>
      </c>
      <c r="Z20" s="5" t="s">
        <v>239</v>
      </c>
      <c r="AA20" s="5" t="s">
        <v>240</v>
      </c>
      <c r="AB20" s="5" t="s">
        <v>241</v>
      </c>
      <c r="AC20" s="5" t="s">
        <v>242</v>
      </c>
      <c r="AD20" s="5" t="s">
        <v>243</v>
      </c>
      <c r="AE20" s="5" t="s">
        <v>244</v>
      </c>
      <c r="AF20" s="5" t="s">
        <v>246</v>
      </c>
      <c r="AG20" s="5" t="s">
        <v>247</v>
      </c>
      <c r="AH20" s="5" t="s">
        <v>248</v>
      </c>
      <c r="AI20" s="5" t="s">
        <v>249</v>
      </c>
      <c r="AJ20" s="5" t="s">
        <v>250</v>
      </c>
      <c r="AK20" s="5" t="s">
        <v>15</v>
      </c>
    </row>
    <row r="21" ht="15.75" customHeight="1">
      <c r="A21" s="50" t="s">
        <v>280</v>
      </c>
      <c r="B21" s="50" t="s">
        <v>281</v>
      </c>
      <c r="C21" s="76"/>
      <c r="D21" s="76"/>
      <c r="E21" s="76"/>
      <c r="F21" s="76" t="s">
        <v>253</v>
      </c>
      <c r="G21" s="76"/>
      <c r="H21" s="76"/>
      <c r="I21" s="76" t="s">
        <v>253</v>
      </c>
      <c r="J21" s="76"/>
      <c r="K21" s="76"/>
      <c r="L21" s="76"/>
      <c r="M21" s="76" t="s">
        <v>253</v>
      </c>
      <c r="N21" s="76"/>
      <c r="O21" s="76"/>
      <c r="P21" s="76" t="s">
        <v>253</v>
      </c>
      <c r="Q21" s="76"/>
      <c r="R21" s="76"/>
      <c r="S21" s="76"/>
      <c r="T21" s="76" t="s">
        <v>253</v>
      </c>
      <c r="U21" s="76"/>
      <c r="V21" s="76"/>
      <c r="W21" s="76"/>
      <c r="X21" s="76"/>
      <c r="Y21" s="76"/>
      <c r="Z21" s="76"/>
      <c r="AA21" s="76"/>
      <c r="AB21" s="76"/>
      <c r="AC21" s="76"/>
      <c r="AD21" s="76"/>
      <c r="AE21" s="76"/>
      <c r="AF21" s="76"/>
      <c r="AG21" s="76"/>
      <c r="AH21" s="51">
        <f t="shared" ref="AH21:AH50" si="3">IF(A21="","",COUNTIF(C21:AG21,"C"))</f>
        <v>5</v>
      </c>
      <c r="AI21" s="51">
        <f t="shared" ref="AI21:AI50" si="4">IF(A21="","",COUNTIF(C21:AG21,"N")+COUNTIF(C21:AG21,"P"))</f>
        <v>0</v>
      </c>
      <c r="AJ21" s="51">
        <f t="shared" ref="AJ21:AJ50" si="5">IF(A21="","",MAX(0,$B$16-AH21-AI21))</f>
        <v>3</v>
      </c>
      <c r="AK21" s="78" t="s">
        <v>292</v>
      </c>
    </row>
    <row r="22" ht="15.75" customHeight="1">
      <c r="A22" s="50" t="s">
        <v>293</v>
      </c>
      <c r="B22" s="50" t="s">
        <v>294</v>
      </c>
      <c r="C22" s="76"/>
      <c r="D22" s="76"/>
      <c r="E22" s="76"/>
      <c r="F22" s="76" t="s">
        <v>253</v>
      </c>
      <c r="G22" s="76"/>
      <c r="H22" s="76"/>
      <c r="I22" s="76" t="s">
        <v>253</v>
      </c>
      <c r="J22" s="76"/>
      <c r="K22" s="76"/>
      <c r="L22" s="76"/>
      <c r="M22" s="76" t="s">
        <v>253</v>
      </c>
      <c r="N22" s="76"/>
      <c r="O22" s="76"/>
      <c r="P22" s="76" t="s">
        <v>253</v>
      </c>
      <c r="Q22" s="76"/>
      <c r="R22" s="76"/>
      <c r="S22" s="76"/>
      <c r="T22" s="76" t="s">
        <v>253</v>
      </c>
      <c r="U22" s="76"/>
      <c r="V22" s="76"/>
      <c r="W22" s="76"/>
      <c r="X22" s="76"/>
      <c r="Y22" s="76"/>
      <c r="Z22" s="76"/>
      <c r="AA22" s="76"/>
      <c r="AB22" s="76"/>
      <c r="AC22" s="76"/>
      <c r="AD22" s="76"/>
      <c r="AE22" s="76"/>
      <c r="AF22" s="76"/>
      <c r="AG22" s="76"/>
      <c r="AH22" s="51">
        <f t="shared" si="3"/>
        <v>5</v>
      </c>
      <c r="AI22" s="51">
        <f t="shared" si="4"/>
        <v>0</v>
      </c>
      <c r="AJ22" s="51">
        <f t="shared" si="5"/>
        <v>3</v>
      </c>
      <c r="AK22" s="78" t="s">
        <v>295</v>
      </c>
    </row>
    <row r="23" ht="15.75" customHeight="1">
      <c r="A23" s="50" t="s">
        <v>296</v>
      </c>
      <c r="B23" s="50" t="s">
        <v>297</v>
      </c>
      <c r="C23" s="76"/>
      <c r="D23" s="76"/>
      <c r="E23" s="76"/>
      <c r="F23" s="76" t="s">
        <v>253</v>
      </c>
      <c r="G23" s="76"/>
      <c r="H23" s="76"/>
      <c r="I23" s="76" t="s">
        <v>253</v>
      </c>
      <c r="J23" s="76"/>
      <c r="K23" s="76"/>
      <c r="L23" s="76"/>
      <c r="M23" s="76" t="s">
        <v>253</v>
      </c>
      <c r="N23" s="76"/>
      <c r="O23" s="76"/>
      <c r="P23" s="76" t="s">
        <v>253</v>
      </c>
      <c r="Q23" s="76"/>
      <c r="R23" s="76"/>
      <c r="S23" s="76"/>
      <c r="T23" s="76" t="s">
        <v>253</v>
      </c>
      <c r="U23" s="76"/>
      <c r="V23" s="76"/>
      <c r="W23" s="76"/>
      <c r="X23" s="76"/>
      <c r="Y23" s="76"/>
      <c r="Z23" s="76"/>
      <c r="AA23" s="76"/>
      <c r="AB23" s="76"/>
      <c r="AC23" s="76"/>
      <c r="AD23" s="76"/>
      <c r="AE23" s="76"/>
      <c r="AF23" s="76"/>
      <c r="AG23" s="76"/>
      <c r="AH23" s="51">
        <f t="shared" si="3"/>
        <v>5</v>
      </c>
      <c r="AI23" s="51">
        <f t="shared" si="4"/>
        <v>0</v>
      </c>
      <c r="AJ23" s="51">
        <f t="shared" si="5"/>
        <v>3</v>
      </c>
      <c r="AK23" s="78" t="s">
        <v>300</v>
      </c>
    </row>
    <row r="24" ht="15.75" customHeight="1">
      <c r="A24" s="50" t="s">
        <v>301</v>
      </c>
      <c r="B24" s="50" t="s">
        <v>302</v>
      </c>
      <c r="C24" s="76"/>
      <c r="D24" s="76"/>
      <c r="E24" s="76"/>
      <c r="F24" s="76" t="s">
        <v>253</v>
      </c>
      <c r="G24" s="76"/>
      <c r="H24" s="76"/>
      <c r="I24" s="76" t="s">
        <v>253</v>
      </c>
      <c r="J24" s="76"/>
      <c r="K24" s="76"/>
      <c r="L24" s="76"/>
      <c r="M24" s="76" t="s">
        <v>253</v>
      </c>
      <c r="N24" s="76"/>
      <c r="O24" s="76"/>
      <c r="P24" s="76" t="s">
        <v>253</v>
      </c>
      <c r="Q24" s="76"/>
      <c r="R24" s="76"/>
      <c r="S24" s="76"/>
      <c r="T24" s="76" t="s">
        <v>253</v>
      </c>
      <c r="U24" s="76"/>
      <c r="V24" s="76"/>
      <c r="W24" s="76"/>
      <c r="X24" s="76"/>
      <c r="Y24" s="76"/>
      <c r="Z24" s="76"/>
      <c r="AA24" s="76"/>
      <c r="AB24" s="76"/>
      <c r="AC24" s="76"/>
      <c r="AD24" s="76"/>
      <c r="AE24" s="76"/>
      <c r="AF24" s="76"/>
      <c r="AG24" s="76"/>
      <c r="AH24" s="51">
        <f t="shared" si="3"/>
        <v>5</v>
      </c>
      <c r="AI24" s="51">
        <f t="shared" si="4"/>
        <v>0</v>
      </c>
      <c r="AJ24" s="51">
        <f t="shared" si="5"/>
        <v>3</v>
      </c>
      <c r="AK24" s="78" t="s">
        <v>303</v>
      </c>
    </row>
    <row r="25" ht="15.75" customHeight="1">
      <c r="A25" s="50" t="s">
        <v>304</v>
      </c>
      <c r="B25" s="50" t="s">
        <v>305</v>
      </c>
      <c r="C25" s="76"/>
      <c r="D25" s="76"/>
      <c r="E25" s="76"/>
      <c r="F25" s="76"/>
      <c r="G25" s="76"/>
      <c r="H25" s="76"/>
      <c r="I25" s="76" t="s">
        <v>253</v>
      </c>
      <c r="J25" s="76"/>
      <c r="K25" s="76"/>
      <c r="L25" s="76"/>
      <c r="M25" s="76" t="s">
        <v>253</v>
      </c>
      <c r="N25" s="76"/>
      <c r="O25" s="76"/>
      <c r="P25" s="76" t="s">
        <v>253</v>
      </c>
      <c r="Q25" s="76"/>
      <c r="R25" s="76"/>
      <c r="S25" s="76"/>
      <c r="T25" s="76"/>
      <c r="U25" s="76"/>
      <c r="V25" s="76"/>
      <c r="W25" s="76"/>
      <c r="X25" s="76"/>
      <c r="Y25" s="76"/>
      <c r="Z25" s="76"/>
      <c r="AA25" s="76"/>
      <c r="AB25" s="76"/>
      <c r="AC25" s="76"/>
      <c r="AD25" s="76"/>
      <c r="AE25" s="76"/>
      <c r="AF25" s="76"/>
      <c r="AG25" s="76"/>
      <c r="AH25" s="51">
        <f t="shared" si="3"/>
        <v>3</v>
      </c>
      <c r="AI25" s="51">
        <f t="shared" si="4"/>
        <v>0</v>
      </c>
      <c r="AJ25" s="51">
        <f t="shared" si="5"/>
        <v>5</v>
      </c>
      <c r="AK25" s="78"/>
    </row>
    <row r="26" ht="15.75" customHeight="1">
      <c r="A26" s="50" t="s">
        <v>306</v>
      </c>
      <c r="B26" s="50" t="s">
        <v>307</v>
      </c>
      <c r="C26" s="76"/>
      <c r="D26" s="76"/>
      <c r="E26" s="76"/>
      <c r="F26" s="76" t="s">
        <v>253</v>
      </c>
      <c r="G26" s="76"/>
      <c r="H26" s="76"/>
      <c r="I26" s="76" t="s">
        <v>253</v>
      </c>
      <c r="J26" s="76"/>
      <c r="K26" s="76"/>
      <c r="L26" s="76"/>
      <c r="M26" s="76" t="s">
        <v>253</v>
      </c>
      <c r="N26" s="76"/>
      <c r="O26" s="76"/>
      <c r="P26" s="76" t="s">
        <v>253</v>
      </c>
      <c r="Q26" s="76"/>
      <c r="R26" s="76"/>
      <c r="S26" s="76"/>
      <c r="T26" s="76" t="s">
        <v>254</v>
      </c>
      <c r="U26" s="76"/>
      <c r="V26" s="76"/>
      <c r="W26" s="76"/>
      <c r="X26" s="76"/>
      <c r="Y26" s="76"/>
      <c r="Z26" s="76"/>
      <c r="AA26" s="76"/>
      <c r="AB26" s="76"/>
      <c r="AC26" s="76"/>
      <c r="AD26" s="76"/>
      <c r="AE26" s="76"/>
      <c r="AF26" s="76"/>
      <c r="AG26" s="76"/>
      <c r="AH26" s="51">
        <f t="shared" si="3"/>
        <v>4</v>
      </c>
      <c r="AI26" s="51">
        <f t="shared" si="4"/>
        <v>1</v>
      </c>
      <c r="AJ26" s="51">
        <f t="shared" si="5"/>
        <v>3</v>
      </c>
      <c r="AK26" s="78" t="s">
        <v>308</v>
      </c>
    </row>
    <row r="27" ht="15.75" customHeight="1">
      <c r="A27" s="50" t="s">
        <v>309</v>
      </c>
      <c r="B27" s="50" t="s">
        <v>310</v>
      </c>
      <c r="C27" s="76"/>
      <c r="D27" s="76"/>
      <c r="E27" s="76"/>
      <c r="F27" s="76" t="s">
        <v>253</v>
      </c>
      <c r="G27" s="76"/>
      <c r="H27" s="76"/>
      <c r="I27" s="76" t="s">
        <v>253</v>
      </c>
      <c r="J27" s="76"/>
      <c r="K27" s="76"/>
      <c r="L27" s="76"/>
      <c r="M27" s="76" t="s">
        <v>253</v>
      </c>
      <c r="N27" s="76"/>
      <c r="O27" s="76"/>
      <c r="P27" s="76" t="s">
        <v>253</v>
      </c>
      <c r="Q27" s="76"/>
      <c r="R27" s="76"/>
      <c r="S27" s="76"/>
      <c r="T27" s="76" t="s">
        <v>253</v>
      </c>
      <c r="U27" s="76"/>
      <c r="V27" s="76"/>
      <c r="W27" s="76"/>
      <c r="X27" s="76"/>
      <c r="Y27" s="76"/>
      <c r="Z27" s="76"/>
      <c r="AA27" s="76"/>
      <c r="AB27" s="76"/>
      <c r="AC27" s="76"/>
      <c r="AD27" s="76"/>
      <c r="AE27" s="76"/>
      <c r="AF27" s="76"/>
      <c r="AG27" s="76"/>
      <c r="AH27" s="51">
        <f t="shared" si="3"/>
        <v>5</v>
      </c>
      <c r="AI27" s="51">
        <f t="shared" si="4"/>
        <v>0</v>
      </c>
      <c r="AJ27" s="51">
        <f t="shared" si="5"/>
        <v>3</v>
      </c>
      <c r="AK27" s="78" t="s">
        <v>313</v>
      </c>
    </row>
    <row r="28" ht="15.75" customHeight="1">
      <c r="A28" s="50" t="s">
        <v>314</v>
      </c>
      <c r="B28" s="50" t="s">
        <v>315</v>
      </c>
      <c r="C28" s="76"/>
      <c r="D28" s="76"/>
      <c r="E28" s="76"/>
      <c r="F28" s="76" t="s">
        <v>253</v>
      </c>
      <c r="G28" s="76"/>
      <c r="H28" s="76"/>
      <c r="I28" s="76" t="s">
        <v>253</v>
      </c>
      <c r="J28" s="76"/>
      <c r="K28" s="76"/>
      <c r="L28" s="76"/>
      <c r="M28" s="76" t="s">
        <v>253</v>
      </c>
      <c r="N28" s="76"/>
      <c r="O28" s="76"/>
      <c r="P28" s="76" t="s">
        <v>253</v>
      </c>
      <c r="Q28" s="76"/>
      <c r="R28" s="76"/>
      <c r="S28" s="76"/>
      <c r="T28" s="76" t="s">
        <v>253</v>
      </c>
      <c r="U28" s="76"/>
      <c r="V28" s="76"/>
      <c r="W28" s="76"/>
      <c r="X28" s="76"/>
      <c r="Y28" s="76"/>
      <c r="Z28" s="76"/>
      <c r="AA28" s="76"/>
      <c r="AB28" s="76"/>
      <c r="AC28" s="76"/>
      <c r="AD28" s="76"/>
      <c r="AE28" s="76"/>
      <c r="AF28" s="76"/>
      <c r="AG28" s="76"/>
      <c r="AH28" s="51">
        <f t="shared" si="3"/>
        <v>5</v>
      </c>
      <c r="AI28" s="51">
        <f t="shared" si="4"/>
        <v>0</v>
      </c>
      <c r="AJ28" s="51">
        <f t="shared" si="5"/>
        <v>3</v>
      </c>
      <c r="AK28" s="78" t="s">
        <v>318</v>
      </c>
    </row>
    <row r="29" ht="15.75" customHeight="1">
      <c r="A29" s="50" t="s">
        <v>319</v>
      </c>
      <c r="B29" s="50" t="s">
        <v>320</v>
      </c>
      <c r="C29" s="76"/>
      <c r="D29" s="76"/>
      <c r="E29" s="76"/>
      <c r="F29" s="76" t="s">
        <v>253</v>
      </c>
      <c r="G29" s="76"/>
      <c r="H29" s="76"/>
      <c r="I29" s="76" t="s">
        <v>254</v>
      </c>
      <c r="J29" s="76"/>
      <c r="K29" s="76"/>
      <c r="L29" s="76"/>
      <c r="M29" s="76" t="s">
        <v>254</v>
      </c>
      <c r="N29" s="76"/>
      <c r="O29" s="76"/>
      <c r="P29" s="76" t="s">
        <v>254</v>
      </c>
      <c r="Q29" s="76"/>
      <c r="R29" s="76"/>
      <c r="S29" s="76"/>
      <c r="T29" s="76" t="s">
        <v>253</v>
      </c>
      <c r="U29" s="76"/>
      <c r="V29" s="76"/>
      <c r="W29" s="76"/>
      <c r="X29" s="76"/>
      <c r="Y29" s="76"/>
      <c r="Z29" s="76"/>
      <c r="AA29" s="76"/>
      <c r="AB29" s="76"/>
      <c r="AC29" s="76"/>
      <c r="AD29" s="76"/>
      <c r="AE29" s="76"/>
      <c r="AF29" s="76"/>
      <c r="AG29" s="76"/>
      <c r="AH29" s="51">
        <f t="shared" si="3"/>
        <v>2</v>
      </c>
      <c r="AI29" s="51">
        <f t="shared" si="4"/>
        <v>3</v>
      </c>
      <c r="AJ29" s="51">
        <f t="shared" si="5"/>
        <v>3</v>
      </c>
      <c r="AK29" s="78" t="s">
        <v>323</v>
      </c>
    </row>
    <row r="30" ht="15.75" customHeight="1">
      <c r="A30" s="50" t="s">
        <v>324</v>
      </c>
      <c r="B30" s="50" t="s">
        <v>325</v>
      </c>
      <c r="C30" s="76"/>
      <c r="D30" s="76"/>
      <c r="E30" s="76"/>
      <c r="F30" s="76" t="s">
        <v>253</v>
      </c>
      <c r="G30" s="76"/>
      <c r="H30" s="76"/>
      <c r="I30" s="76" t="s">
        <v>253</v>
      </c>
      <c r="J30" s="76"/>
      <c r="K30" s="76"/>
      <c r="L30" s="76"/>
      <c r="M30" s="76" t="s">
        <v>253</v>
      </c>
      <c r="N30" s="76"/>
      <c r="O30" s="76"/>
      <c r="P30" s="76" t="s">
        <v>253</v>
      </c>
      <c r="Q30" s="76"/>
      <c r="R30" s="76"/>
      <c r="S30" s="76"/>
      <c r="T30" s="76" t="s">
        <v>253</v>
      </c>
      <c r="U30" s="76"/>
      <c r="V30" s="76"/>
      <c r="W30" s="76"/>
      <c r="X30" s="76"/>
      <c r="Y30" s="76"/>
      <c r="Z30" s="76"/>
      <c r="AA30" s="76"/>
      <c r="AB30" s="76"/>
      <c r="AC30" s="76"/>
      <c r="AD30" s="76"/>
      <c r="AE30" s="76"/>
      <c r="AF30" s="76"/>
      <c r="AG30" s="76"/>
      <c r="AH30" s="51">
        <f t="shared" si="3"/>
        <v>5</v>
      </c>
      <c r="AI30" s="51">
        <f t="shared" si="4"/>
        <v>0</v>
      </c>
      <c r="AJ30" s="51">
        <f t="shared" si="5"/>
        <v>3</v>
      </c>
      <c r="AK30" s="78" t="s">
        <v>328</v>
      </c>
    </row>
    <row r="31" ht="15.75" customHeight="1">
      <c r="A31" s="50" t="s">
        <v>329</v>
      </c>
      <c r="B31" s="50" t="s">
        <v>330</v>
      </c>
      <c r="C31" s="76"/>
      <c r="D31" s="76"/>
      <c r="E31" s="76"/>
      <c r="F31" s="76" t="s">
        <v>253</v>
      </c>
      <c r="G31" s="76"/>
      <c r="H31" s="76"/>
      <c r="I31" s="76" t="s">
        <v>253</v>
      </c>
      <c r="J31" s="76"/>
      <c r="K31" s="76"/>
      <c r="L31" s="76"/>
      <c r="M31" s="76" t="s">
        <v>253</v>
      </c>
      <c r="N31" s="76"/>
      <c r="O31" s="76"/>
      <c r="P31" s="76" t="s">
        <v>253</v>
      </c>
      <c r="Q31" s="76"/>
      <c r="R31" s="76"/>
      <c r="S31" s="76"/>
      <c r="T31" s="76" t="s">
        <v>253</v>
      </c>
      <c r="U31" s="76"/>
      <c r="V31" s="76"/>
      <c r="W31" s="76"/>
      <c r="X31" s="76"/>
      <c r="Y31" s="76"/>
      <c r="Z31" s="76"/>
      <c r="AA31" s="76"/>
      <c r="AB31" s="76"/>
      <c r="AC31" s="76"/>
      <c r="AD31" s="76"/>
      <c r="AE31" s="76"/>
      <c r="AF31" s="76"/>
      <c r="AG31" s="76"/>
      <c r="AH31" s="51">
        <f t="shared" si="3"/>
        <v>5</v>
      </c>
      <c r="AI31" s="51">
        <f t="shared" si="4"/>
        <v>0</v>
      </c>
      <c r="AJ31" s="51">
        <f t="shared" si="5"/>
        <v>3</v>
      </c>
      <c r="AK31" s="78" t="s">
        <v>333</v>
      </c>
    </row>
    <row r="32" ht="15.75" customHeight="1">
      <c r="A32" s="50" t="s">
        <v>334</v>
      </c>
      <c r="B32" s="50" t="s">
        <v>335</v>
      </c>
      <c r="C32" s="76"/>
      <c r="D32" s="76"/>
      <c r="E32" s="76"/>
      <c r="F32" s="76" t="s">
        <v>253</v>
      </c>
      <c r="G32" s="76"/>
      <c r="H32" s="76"/>
      <c r="I32" s="76"/>
      <c r="J32" s="76"/>
      <c r="K32" s="76"/>
      <c r="L32" s="76"/>
      <c r="M32" s="76"/>
      <c r="N32" s="76"/>
      <c r="O32" s="76"/>
      <c r="P32" s="76"/>
      <c r="Q32" s="76"/>
      <c r="R32" s="76"/>
      <c r="S32" s="76"/>
      <c r="T32" s="76" t="s">
        <v>253</v>
      </c>
      <c r="U32" s="76"/>
      <c r="V32" s="76"/>
      <c r="W32" s="76"/>
      <c r="X32" s="76"/>
      <c r="Y32" s="76"/>
      <c r="Z32" s="76"/>
      <c r="AA32" s="76"/>
      <c r="AB32" s="76"/>
      <c r="AC32" s="76"/>
      <c r="AD32" s="76"/>
      <c r="AE32" s="76"/>
      <c r="AF32" s="76"/>
      <c r="AG32" s="76"/>
      <c r="AH32" s="51">
        <f t="shared" si="3"/>
        <v>2</v>
      </c>
      <c r="AI32" s="51">
        <f t="shared" si="4"/>
        <v>0</v>
      </c>
      <c r="AJ32" s="51">
        <f t="shared" si="5"/>
        <v>6</v>
      </c>
      <c r="AK32" s="78" t="s">
        <v>338</v>
      </c>
    </row>
    <row r="33" ht="15.75" customHeight="1">
      <c r="A33" s="50" t="s">
        <v>339</v>
      </c>
      <c r="B33" s="50" t="s">
        <v>340</v>
      </c>
      <c r="C33" s="76"/>
      <c r="D33" s="76"/>
      <c r="E33" s="76"/>
      <c r="F33" s="76"/>
      <c r="G33" s="76"/>
      <c r="H33" s="76"/>
      <c r="I33" s="76"/>
      <c r="J33" s="76"/>
      <c r="K33" s="76"/>
      <c r="L33" s="76"/>
      <c r="M33" s="76"/>
      <c r="N33" s="76"/>
      <c r="O33" s="76"/>
      <c r="P33" s="76"/>
      <c r="Q33" s="76"/>
      <c r="R33" s="76"/>
      <c r="S33" s="76"/>
      <c r="T33" s="76" t="s">
        <v>253</v>
      </c>
      <c r="U33" s="76"/>
      <c r="V33" s="76"/>
      <c r="W33" s="76"/>
      <c r="X33" s="76"/>
      <c r="Y33" s="76"/>
      <c r="Z33" s="76"/>
      <c r="AA33" s="76"/>
      <c r="AB33" s="76"/>
      <c r="AC33" s="76"/>
      <c r="AD33" s="76"/>
      <c r="AE33" s="76"/>
      <c r="AF33" s="76"/>
      <c r="AG33" s="76"/>
      <c r="AH33" s="51">
        <f t="shared" si="3"/>
        <v>1</v>
      </c>
      <c r="AI33" s="51">
        <f t="shared" si="4"/>
        <v>0</v>
      </c>
      <c r="AJ33" s="51">
        <f t="shared" si="5"/>
        <v>7</v>
      </c>
      <c r="AK33" s="78" t="s">
        <v>343</v>
      </c>
    </row>
    <row r="34" ht="15.75" customHeight="1">
      <c r="A34" s="50"/>
      <c r="B34" s="50"/>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c r="AF34" s="76"/>
      <c r="AG34" s="76"/>
      <c r="AH34" s="51" t="str">
        <f t="shared" si="3"/>
        <v/>
      </c>
      <c r="AI34" s="51" t="str">
        <f t="shared" si="4"/>
        <v/>
      </c>
      <c r="AJ34" s="51" t="str">
        <f t="shared" si="5"/>
        <v/>
      </c>
      <c r="AK34" s="78"/>
    </row>
    <row r="35" ht="15.75" customHeight="1">
      <c r="A35" s="50"/>
      <c r="B35" s="50"/>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6"/>
      <c r="AF35" s="76"/>
      <c r="AG35" s="76"/>
      <c r="AH35" s="51" t="str">
        <f t="shared" si="3"/>
        <v/>
      </c>
      <c r="AI35" s="51" t="str">
        <f t="shared" si="4"/>
        <v/>
      </c>
      <c r="AJ35" s="51" t="str">
        <f t="shared" si="5"/>
        <v/>
      </c>
      <c r="AK35" s="78"/>
    </row>
    <row r="36" ht="15.75" customHeight="1">
      <c r="A36" s="50"/>
      <c r="B36" s="50"/>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51" t="str">
        <f t="shared" si="3"/>
        <v/>
      </c>
      <c r="AI36" s="51" t="str">
        <f t="shared" si="4"/>
        <v/>
      </c>
      <c r="AJ36" s="51" t="str">
        <f t="shared" si="5"/>
        <v/>
      </c>
      <c r="AK36" s="78"/>
    </row>
    <row r="37" ht="15.75" customHeight="1">
      <c r="A37" s="50"/>
      <c r="B37" s="50"/>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51" t="str">
        <f t="shared" si="3"/>
        <v/>
      </c>
      <c r="AI37" s="51" t="str">
        <f t="shared" si="4"/>
        <v/>
      </c>
      <c r="AJ37" s="51" t="str">
        <f t="shared" si="5"/>
        <v/>
      </c>
      <c r="AK37" s="78"/>
    </row>
    <row r="38" ht="15.75" customHeight="1">
      <c r="A38" s="50"/>
      <c r="B38" s="50"/>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6"/>
      <c r="AC38" s="76"/>
      <c r="AD38" s="76"/>
      <c r="AE38" s="76"/>
      <c r="AF38" s="76"/>
      <c r="AG38" s="76"/>
      <c r="AH38" s="51" t="str">
        <f t="shared" si="3"/>
        <v/>
      </c>
      <c r="AI38" s="51" t="str">
        <f t="shared" si="4"/>
        <v/>
      </c>
      <c r="AJ38" s="51" t="str">
        <f t="shared" si="5"/>
        <v/>
      </c>
      <c r="AK38" s="78"/>
    </row>
    <row r="39" ht="15.75" customHeight="1">
      <c r="A39" s="50"/>
      <c r="B39" s="50"/>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51" t="str">
        <f t="shared" si="3"/>
        <v/>
      </c>
      <c r="AI39" s="51" t="str">
        <f t="shared" si="4"/>
        <v/>
      </c>
      <c r="AJ39" s="51" t="str">
        <f t="shared" si="5"/>
        <v/>
      </c>
      <c r="AK39" s="78"/>
    </row>
    <row r="40" ht="15.75" customHeight="1">
      <c r="A40" s="50"/>
      <c r="B40" s="50"/>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51" t="str">
        <f t="shared" si="3"/>
        <v/>
      </c>
      <c r="AI40" s="51" t="str">
        <f t="shared" si="4"/>
        <v/>
      </c>
      <c r="AJ40" s="51" t="str">
        <f t="shared" si="5"/>
        <v/>
      </c>
      <c r="AK40" s="78"/>
    </row>
    <row r="41" ht="15.75" customHeight="1">
      <c r="A41" s="50"/>
      <c r="B41" s="50"/>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c r="AF41" s="76"/>
      <c r="AG41" s="76"/>
      <c r="AH41" s="51" t="str">
        <f t="shared" si="3"/>
        <v/>
      </c>
      <c r="AI41" s="51" t="str">
        <f t="shared" si="4"/>
        <v/>
      </c>
      <c r="AJ41" s="51" t="str">
        <f t="shared" si="5"/>
        <v/>
      </c>
      <c r="AK41" s="78"/>
    </row>
    <row r="42" ht="15.75" customHeight="1">
      <c r="A42" s="50"/>
      <c r="B42" s="50"/>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51" t="str">
        <f t="shared" si="3"/>
        <v/>
      </c>
      <c r="AI42" s="51" t="str">
        <f t="shared" si="4"/>
        <v/>
      </c>
      <c r="AJ42" s="51" t="str">
        <f t="shared" si="5"/>
        <v/>
      </c>
      <c r="AK42" s="78"/>
    </row>
    <row r="43" ht="15.75" customHeight="1">
      <c r="A43" s="50"/>
      <c r="B43" s="50"/>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51" t="str">
        <f t="shared" si="3"/>
        <v/>
      </c>
      <c r="AI43" s="51" t="str">
        <f t="shared" si="4"/>
        <v/>
      </c>
      <c r="AJ43" s="51" t="str">
        <f t="shared" si="5"/>
        <v/>
      </c>
      <c r="AK43" s="78"/>
    </row>
    <row r="44" ht="15.75" customHeight="1">
      <c r="A44" s="50"/>
      <c r="B44" s="50"/>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51" t="str">
        <f t="shared" si="3"/>
        <v/>
      </c>
      <c r="AI44" s="51" t="str">
        <f t="shared" si="4"/>
        <v/>
      </c>
      <c r="AJ44" s="51" t="str">
        <f t="shared" si="5"/>
        <v/>
      </c>
      <c r="AK44" s="78"/>
    </row>
    <row r="45" ht="15.75" customHeight="1">
      <c r="A45" s="50"/>
      <c r="B45" s="50"/>
      <c r="C45" s="76"/>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51" t="str">
        <f t="shared" si="3"/>
        <v/>
      </c>
      <c r="AI45" s="51" t="str">
        <f t="shared" si="4"/>
        <v/>
      </c>
      <c r="AJ45" s="51" t="str">
        <f t="shared" si="5"/>
        <v/>
      </c>
      <c r="AK45" s="78"/>
    </row>
    <row r="46" ht="15.75" customHeight="1">
      <c r="A46" s="50"/>
      <c r="B46" s="50"/>
      <c r="C46" s="76"/>
      <c r="D46" s="76"/>
      <c r="E46" s="76"/>
      <c r="F46" s="76"/>
      <c r="G46" s="76"/>
      <c r="H46" s="76"/>
      <c r="I46" s="76"/>
      <c r="J46" s="76"/>
      <c r="K46" s="76"/>
      <c r="L46" s="76"/>
      <c r="M46" s="76"/>
      <c r="N46" s="76"/>
      <c r="O46" s="76"/>
      <c r="P46" s="76"/>
      <c r="Q46" s="76"/>
      <c r="R46" s="76"/>
      <c r="S46" s="76"/>
      <c r="T46" s="76"/>
      <c r="U46" s="76"/>
      <c r="V46" s="76"/>
      <c r="W46" s="76"/>
      <c r="X46" s="76"/>
      <c r="Y46" s="76"/>
      <c r="Z46" s="76"/>
      <c r="AA46" s="76"/>
      <c r="AB46" s="76"/>
      <c r="AC46" s="76"/>
      <c r="AD46" s="76"/>
      <c r="AE46" s="76"/>
      <c r="AF46" s="76"/>
      <c r="AG46" s="76"/>
      <c r="AH46" s="51" t="str">
        <f t="shared" si="3"/>
        <v/>
      </c>
      <c r="AI46" s="51" t="str">
        <f t="shared" si="4"/>
        <v/>
      </c>
      <c r="AJ46" s="51" t="str">
        <f t="shared" si="5"/>
        <v/>
      </c>
      <c r="AK46" s="78"/>
    </row>
    <row r="47" ht="15.75" customHeight="1">
      <c r="A47" s="50"/>
      <c r="B47" s="50"/>
      <c r="C47" s="76"/>
      <c r="D47" s="76"/>
      <c r="E47" s="76"/>
      <c r="F47" s="76"/>
      <c r="G47" s="76"/>
      <c r="H47" s="76"/>
      <c r="I47" s="76"/>
      <c r="J47" s="76"/>
      <c r="K47" s="76"/>
      <c r="L47" s="76"/>
      <c r="M47" s="76"/>
      <c r="N47" s="76"/>
      <c r="O47" s="76"/>
      <c r="P47" s="76"/>
      <c r="Q47" s="76"/>
      <c r="R47" s="76"/>
      <c r="S47" s="76"/>
      <c r="T47" s="76"/>
      <c r="U47" s="76"/>
      <c r="V47" s="76"/>
      <c r="W47" s="76"/>
      <c r="X47" s="76"/>
      <c r="Y47" s="76"/>
      <c r="Z47" s="76"/>
      <c r="AA47" s="76"/>
      <c r="AB47" s="76"/>
      <c r="AC47" s="76"/>
      <c r="AD47" s="76"/>
      <c r="AE47" s="76"/>
      <c r="AF47" s="76"/>
      <c r="AG47" s="76"/>
      <c r="AH47" s="51" t="str">
        <f t="shared" si="3"/>
        <v/>
      </c>
      <c r="AI47" s="51" t="str">
        <f t="shared" si="4"/>
        <v/>
      </c>
      <c r="AJ47" s="51" t="str">
        <f t="shared" si="5"/>
        <v/>
      </c>
      <c r="AK47" s="78"/>
    </row>
    <row r="48" ht="15.75" customHeight="1">
      <c r="A48" s="50"/>
      <c r="B48" s="50"/>
      <c r="C48" s="76"/>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51" t="str">
        <f t="shared" si="3"/>
        <v/>
      </c>
      <c r="AI48" s="51" t="str">
        <f t="shared" si="4"/>
        <v/>
      </c>
      <c r="AJ48" s="51" t="str">
        <f t="shared" si="5"/>
        <v/>
      </c>
      <c r="AK48" s="78"/>
    </row>
    <row r="49" ht="15.75" customHeight="1">
      <c r="A49" s="50"/>
      <c r="B49" s="50"/>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51" t="str">
        <f t="shared" si="3"/>
        <v/>
      </c>
      <c r="AI49" s="51" t="str">
        <f t="shared" si="4"/>
        <v/>
      </c>
      <c r="AJ49" s="51" t="str">
        <f t="shared" si="5"/>
        <v/>
      </c>
      <c r="AK49" s="78"/>
    </row>
    <row r="50" ht="15.75" customHeight="1">
      <c r="A50" s="50"/>
      <c r="B50" s="50"/>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51" t="str">
        <f t="shared" si="3"/>
        <v/>
      </c>
      <c r="AI50" s="51" t="str">
        <f t="shared" si="4"/>
        <v/>
      </c>
      <c r="AJ50" s="51" t="str">
        <f t="shared" si="5"/>
        <v/>
      </c>
      <c r="AK50" s="78"/>
    </row>
    <row r="51" ht="15.75" customHeight="1">
      <c r="A51" s="50"/>
      <c r="B51" s="50"/>
      <c r="C51" s="76"/>
      <c r="D51" s="76"/>
      <c r="E51" s="76"/>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51"/>
      <c r="AI51" s="51"/>
      <c r="AJ51" s="51"/>
      <c r="AK51" s="14"/>
    </row>
    <row r="52" ht="15.75" customHeight="1">
      <c r="A52" s="50"/>
      <c r="B52" s="50"/>
      <c r="C52" s="76"/>
      <c r="D52" s="76"/>
      <c r="E52" s="76"/>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51"/>
      <c r="AI52" s="51"/>
      <c r="AJ52" s="51"/>
      <c r="AK52" s="14"/>
    </row>
    <row r="53" ht="15.75" customHeight="1">
      <c r="A53" s="50"/>
      <c r="B53" s="50"/>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51"/>
      <c r="AI53" s="51"/>
      <c r="AJ53" s="51"/>
      <c r="AK53" s="14"/>
    </row>
    <row r="54" ht="15.75" customHeight="1">
      <c r="A54" s="50"/>
      <c r="B54" s="50"/>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51"/>
      <c r="AI54" s="51"/>
      <c r="AJ54" s="51"/>
      <c r="AK54" s="14"/>
    </row>
    <row r="55" ht="15.75" customHeight="1">
      <c r="A55" s="50"/>
      <c r="B55" s="50"/>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51"/>
      <c r="AI55" s="51"/>
      <c r="AJ55" s="51"/>
      <c r="AK55" s="14"/>
    </row>
    <row r="56" ht="15.75" customHeight="1">
      <c r="A56" s="50"/>
      <c r="B56" s="50"/>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51"/>
      <c r="AI56" s="51"/>
      <c r="AJ56" s="51"/>
      <c r="AK56" s="14"/>
    </row>
    <row r="57" ht="15.75" customHeight="1">
      <c r="A57" s="50"/>
      <c r="B57" s="50"/>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51"/>
      <c r="AI57" s="51"/>
      <c r="AJ57" s="51"/>
      <c r="AK57" s="14"/>
    </row>
    <row r="58" ht="15.75" customHeight="1">
      <c r="A58" s="50"/>
      <c r="B58" s="50"/>
      <c r="C58" s="76"/>
      <c r="D58" s="76"/>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51"/>
      <c r="AI58" s="51"/>
      <c r="AJ58" s="51"/>
      <c r="AK58" s="14"/>
    </row>
    <row r="59" ht="15.75" customHeight="1">
      <c r="A59" s="50"/>
      <c r="B59" s="50"/>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51"/>
      <c r="AI59" s="51"/>
      <c r="AJ59" s="51"/>
      <c r="AK59" s="14"/>
    </row>
    <row r="60" ht="15.75" customHeight="1">
      <c r="A60" s="50"/>
      <c r="B60" s="50"/>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51"/>
      <c r="AI60" s="51"/>
      <c r="AJ60" s="51"/>
      <c r="AK60" s="14"/>
    </row>
    <row r="61" ht="15.75" customHeight="1">
      <c r="A61" s="50"/>
      <c r="B61" s="50"/>
      <c r="C61" s="76"/>
      <c r="D61" s="76"/>
      <c r="E61" s="76"/>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51"/>
      <c r="AI61" s="51"/>
      <c r="AJ61" s="51"/>
      <c r="AK61" s="14"/>
    </row>
    <row r="62" ht="15.75" customHeight="1">
      <c r="A62" s="50"/>
      <c r="B62" s="50"/>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51"/>
      <c r="AI62" s="51"/>
      <c r="AJ62" s="51"/>
      <c r="AK62" s="14"/>
    </row>
    <row r="63" ht="15.75" customHeight="1">
      <c r="A63" s="50"/>
      <c r="B63" s="50"/>
      <c r="C63" s="76"/>
      <c r="D63" s="76"/>
      <c r="E63" s="76"/>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51"/>
      <c r="AI63" s="51"/>
      <c r="AJ63" s="51"/>
      <c r="AK63" s="14"/>
    </row>
    <row r="64" ht="15.75" customHeight="1">
      <c r="A64" s="50"/>
      <c r="B64" s="50"/>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51"/>
      <c r="AI64" s="51"/>
      <c r="AJ64" s="51"/>
      <c r="AK64" s="14"/>
    </row>
    <row r="65" ht="15.75" customHeight="1">
      <c r="A65" s="50"/>
      <c r="B65" s="50"/>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51"/>
      <c r="AI65" s="51"/>
      <c r="AJ65" s="51"/>
      <c r="AK65" s="14"/>
    </row>
    <row r="66" ht="15.75" customHeight="1">
      <c r="A66" s="50"/>
      <c r="B66" s="50"/>
      <c r="C66" s="76"/>
      <c r="D66" s="76"/>
      <c r="E66" s="76"/>
      <c r="F66" s="76"/>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51"/>
      <c r="AI66" s="51"/>
      <c r="AJ66" s="51"/>
      <c r="AK66" s="14"/>
    </row>
    <row r="67" ht="15.75" customHeight="1">
      <c r="A67" s="50"/>
      <c r="B67" s="50"/>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51"/>
      <c r="AI67" s="51"/>
      <c r="AJ67" s="51"/>
      <c r="AK67" s="14"/>
    </row>
    <row r="68" ht="15.75" customHeight="1">
      <c r="A68" s="50"/>
      <c r="B68" s="50"/>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51"/>
      <c r="AI68" s="51"/>
      <c r="AJ68" s="51"/>
      <c r="AK68" s="14"/>
    </row>
    <row r="69" ht="15.75" customHeight="1">
      <c r="A69" s="50"/>
      <c r="B69" s="50"/>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51"/>
      <c r="AI69" s="51"/>
      <c r="AJ69" s="51"/>
      <c r="AK69" s="14"/>
    </row>
    <row r="70" ht="15.75" customHeight="1">
      <c r="A70" s="50"/>
      <c r="B70" s="50"/>
      <c r="C70" s="76"/>
      <c r="D70" s="76"/>
      <c r="E70" s="76"/>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51"/>
      <c r="AI70" s="51"/>
      <c r="AJ70" s="51"/>
      <c r="AK70" s="14"/>
    </row>
    <row r="71" ht="15.75" customHeight="1">
      <c r="A71" s="50"/>
      <c r="B71" s="50"/>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51"/>
      <c r="AI71" s="51"/>
      <c r="AJ71" s="51"/>
      <c r="AK71" s="14"/>
    </row>
    <row r="72" ht="15.75" customHeight="1">
      <c r="A72" s="50"/>
      <c r="B72" s="50"/>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51"/>
      <c r="AI72" s="51"/>
      <c r="AJ72" s="51"/>
      <c r="AK72" s="14"/>
    </row>
    <row r="73" ht="15.75" customHeight="1">
      <c r="A73" s="50"/>
      <c r="B73" s="50"/>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51"/>
      <c r="AI73" s="51"/>
      <c r="AJ73" s="51"/>
      <c r="AK73" s="14"/>
    </row>
    <row r="74" ht="15.75" customHeight="1">
      <c r="A74" s="50"/>
      <c r="B74" s="50"/>
      <c r="C74" s="76"/>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51"/>
      <c r="AI74" s="51"/>
      <c r="AJ74" s="51"/>
      <c r="AK74" s="14"/>
    </row>
    <row r="75" ht="15.75" customHeight="1">
      <c r="A75" s="50"/>
      <c r="B75" s="50"/>
      <c r="C75" s="76"/>
      <c r="D75" s="76"/>
      <c r="E75" s="76"/>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51"/>
      <c r="AI75" s="51"/>
      <c r="AJ75" s="51"/>
      <c r="AK75" s="14"/>
    </row>
    <row r="76" ht="15.75" customHeight="1">
      <c r="A76" s="50"/>
      <c r="B76" s="50"/>
      <c r="C76" s="76"/>
      <c r="D76" s="76"/>
      <c r="E76" s="76"/>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51"/>
      <c r="AI76" s="51"/>
      <c r="AJ76" s="51"/>
      <c r="AK76" s="14"/>
    </row>
    <row r="77" ht="15.75" customHeight="1">
      <c r="A77" s="50"/>
      <c r="B77" s="50"/>
      <c r="C77" s="76"/>
      <c r="D77" s="76"/>
      <c r="E77" s="76"/>
      <c r="F77" s="76"/>
      <c r="G77" s="76"/>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51"/>
      <c r="AI77" s="51"/>
      <c r="AJ77" s="51"/>
      <c r="AK77" s="14"/>
    </row>
    <row r="78" ht="15.75" customHeight="1">
      <c r="A78" s="50"/>
      <c r="B78" s="50"/>
      <c r="C78" s="76"/>
      <c r="D78" s="76"/>
      <c r="E78" s="76"/>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51"/>
      <c r="AI78" s="51"/>
      <c r="AJ78" s="51"/>
      <c r="AK78" s="14"/>
    </row>
    <row r="79" ht="15.75" customHeight="1">
      <c r="A79" s="50"/>
      <c r="B79" s="50"/>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51"/>
      <c r="AI79" s="51"/>
      <c r="AJ79" s="51"/>
      <c r="AK79" s="14"/>
    </row>
    <row r="80" ht="15.75" customHeight="1">
      <c r="A80" s="50"/>
      <c r="B80" s="50"/>
      <c r="C80" s="76"/>
      <c r="D80" s="76"/>
      <c r="E80" s="76"/>
      <c r="F80" s="76"/>
      <c r="G80" s="76"/>
      <c r="H80" s="76"/>
      <c r="I80" s="76"/>
      <c r="J80" s="76"/>
      <c r="K80" s="76"/>
      <c r="L80" s="76"/>
      <c r="M80" s="76"/>
      <c r="N80" s="76"/>
      <c r="O80" s="76"/>
      <c r="P80" s="76"/>
      <c r="Q80" s="76"/>
      <c r="R80" s="76"/>
      <c r="S80" s="76"/>
      <c r="T80" s="76"/>
      <c r="U80" s="76"/>
      <c r="V80" s="76"/>
      <c r="W80" s="76"/>
      <c r="X80" s="76"/>
      <c r="Y80" s="76"/>
      <c r="Z80" s="76"/>
      <c r="AA80" s="76"/>
      <c r="AB80" s="76"/>
      <c r="AC80" s="76"/>
      <c r="AD80" s="76"/>
      <c r="AE80" s="76"/>
      <c r="AF80" s="76"/>
      <c r="AG80" s="76"/>
      <c r="AH80" s="51"/>
      <c r="AI80" s="51"/>
      <c r="AJ80" s="51"/>
      <c r="AK80" s="14"/>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K1"/>
  </mergeCells>
  <conditionalFormatting sqref="C21:AG50">
    <cfRule type="expression" dxfId="5" priority="1">
      <formula>C$19&lt;&gt;1</formula>
    </cfRule>
  </conditionalFormatting>
  <conditionalFormatting sqref="C21:AG80">
    <cfRule type="expression" dxfId="0" priority="2">
      <formula>C21="C"</formula>
    </cfRule>
  </conditionalFormatting>
  <conditionalFormatting sqref="C21:AG80">
    <cfRule type="expression" dxfId="1" priority="3">
      <formula>C21="N"</formula>
    </cfRule>
  </conditionalFormatting>
  <conditionalFormatting sqref="C17:AG20">
    <cfRule type="expression" dxfId="6" priority="4">
      <formula>C$19=1</formula>
    </cfRule>
  </conditionalFormatting>
  <dataValidations>
    <dataValidation type="list" allowBlank="1" sqref="C21:AG80">
      <formula1>"C,N"</formula1>
    </dataValidation>
  </dataValidation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24.0"/>
    <col customWidth="1" min="3" max="33" width="5.0"/>
    <col customWidth="1" min="34" max="36" width="13.0"/>
    <col customWidth="1" min="37" max="37" width="42.0"/>
  </cols>
  <sheetData>
    <row r="1" ht="30.0" customHeight="1">
      <c r="A1" s="64" t="s">
        <v>245</v>
      </c>
    </row>
    <row r="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ht="18.0" customHeight="1">
      <c r="A3" s="67" t="s">
        <v>10</v>
      </c>
      <c r="B3" s="51" t="str">
        <f>IFERROR(DANH_MUC_LOP!$B$6,"")</f>
        <v>L08</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ht="18.0" customHeight="1">
      <c r="A4" s="67" t="s">
        <v>76</v>
      </c>
      <c r="B4" s="68">
        <f>IFERROR(DIEU_KHIEN!$B$4,"")</f>
        <v>46235</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row>
    <row r="5" ht="18.0" customHeight="1">
      <c r="A5" s="67" t="s">
        <v>19</v>
      </c>
      <c r="B5" s="51" t="str">
        <f>IFERROR(DANH_MUC_LOP!$C$6,"")</f>
        <v>Toán 8 Thầy Cường</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row>
    <row r="6" ht="18.0" customHeight="1">
      <c r="A6" s="67" t="s">
        <v>21</v>
      </c>
      <c r="B6" s="51">
        <f>IFERROR(DANH_MUC_LOP!$D$6,"")</f>
        <v>8</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row>
    <row r="7" ht="18.0" customHeight="1">
      <c r="A7" s="67" t="s">
        <v>22</v>
      </c>
      <c r="B7" s="51" t="str">
        <f>IFERROR(DANH_MUC_LOP!$E$6,"")</f>
        <v>Toán</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row>
    <row r="8" ht="18.0" customHeight="1">
      <c r="A8" s="67" t="s">
        <v>23</v>
      </c>
      <c r="B8" s="43">
        <f>IFERROR(DANH_MUC_LOP!$F$6,"")</f>
        <v>50000</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row>
    <row r="9" ht="18.0" customHeight="1">
      <c r="A9" s="67" t="s">
        <v>195</v>
      </c>
      <c r="B9" s="51" t="str">
        <f>IFERROR(DANH_MUC_LOP!$G$6,"")</f>
        <v>Không</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row>
    <row r="10" ht="18.0" customHeight="1">
      <c r="A10" s="67" t="s">
        <v>197</v>
      </c>
      <c r="B10" s="51" t="str">
        <f>IFERROR(DANH_MUC_LOP!$H$6,"")</f>
        <v>Có</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row>
    <row r="11" ht="18.0" customHeight="1">
      <c r="A11" s="67" t="s">
        <v>199</v>
      </c>
      <c r="B11" s="51" t="str">
        <f>IFERROR(DANH_MUC_LOP!$I$6,"")</f>
        <v>Không</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row>
    <row r="12" ht="18.0" customHeight="1">
      <c r="A12" s="67" t="s">
        <v>201</v>
      </c>
      <c r="B12" s="51" t="str">
        <f>IFERROR(DANH_MUC_LOP!$J$6,"")</f>
        <v>Không</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row>
    <row r="13" ht="18.0" customHeight="1">
      <c r="A13" s="67" t="s">
        <v>203</v>
      </c>
      <c r="B13" s="51" t="str">
        <f>IFERROR(DANH_MUC_LOP!$K$6,"")</f>
        <v>Không</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row>
    <row r="14" ht="18.0" customHeight="1">
      <c r="A14" s="67" t="s">
        <v>205</v>
      </c>
      <c r="B14" s="51" t="str">
        <f>IFERROR(DANH_MUC_LOP!$L$6,"")</f>
        <v>Không</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ht="18.0" customHeight="1">
      <c r="A15" s="67" t="s">
        <v>206</v>
      </c>
      <c r="B15" s="51" t="str">
        <f>IFERROR(DANH_MUC_LOP!$M$6,"")</f>
        <v>Có</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row>
    <row r="16" ht="18.0" customHeight="1">
      <c r="A16" s="67" t="s">
        <v>209</v>
      </c>
      <c r="B16" s="51">
        <f>IFERROR(IF(DANH_MUC_LOP!$R$6&gt;0,DANH_MUC_LOP!$R$6,SUM(C19:AG19)),SUM(C19:AG19))</f>
        <v>9</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row>
    <row r="17">
      <c r="A17" s="4" t="s">
        <v>212</v>
      </c>
      <c r="B17" s="4"/>
      <c r="C17" s="71">
        <v>1.0</v>
      </c>
      <c r="D17" s="71">
        <v>2.0</v>
      </c>
      <c r="E17" s="71">
        <v>3.0</v>
      </c>
      <c r="F17" s="71">
        <v>4.0</v>
      </c>
      <c r="G17" s="71">
        <v>5.0</v>
      </c>
      <c r="H17" s="71">
        <v>6.0</v>
      </c>
      <c r="I17" s="71">
        <v>7.0</v>
      </c>
      <c r="J17" s="71">
        <v>8.0</v>
      </c>
      <c r="K17" s="71">
        <v>9.0</v>
      </c>
      <c r="L17" s="71">
        <v>10.0</v>
      </c>
      <c r="M17" s="71">
        <v>11.0</v>
      </c>
      <c r="N17" s="71">
        <v>12.0</v>
      </c>
      <c r="O17" s="71">
        <v>13.0</v>
      </c>
      <c r="P17" s="71">
        <v>14.0</v>
      </c>
      <c r="Q17" s="71">
        <v>15.0</v>
      </c>
      <c r="R17" s="71">
        <v>16.0</v>
      </c>
      <c r="S17" s="71">
        <v>17.0</v>
      </c>
      <c r="T17" s="71">
        <v>18.0</v>
      </c>
      <c r="U17" s="71">
        <v>19.0</v>
      </c>
      <c r="V17" s="71">
        <v>20.0</v>
      </c>
      <c r="W17" s="71">
        <v>21.0</v>
      </c>
      <c r="X17" s="71">
        <v>22.0</v>
      </c>
      <c r="Y17" s="71">
        <v>23.0</v>
      </c>
      <c r="Z17" s="71">
        <v>24.0</v>
      </c>
      <c r="AA17" s="71">
        <v>25.0</v>
      </c>
      <c r="AB17" s="71">
        <v>26.0</v>
      </c>
      <c r="AC17" s="71">
        <v>27.0</v>
      </c>
      <c r="AD17" s="71">
        <v>28.0</v>
      </c>
      <c r="AE17" s="71">
        <v>29.0</v>
      </c>
      <c r="AF17" s="71">
        <v>30.0</v>
      </c>
      <c r="AG17" s="71">
        <v>31.0</v>
      </c>
      <c r="AH17" s="72"/>
      <c r="AI17" s="72"/>
      <c r="AJ17" s="72"/>
      <c r="AK17" s="72"/>
    </row>
    <row r="18">
      <c r="A18" s="4" t="s">
        <v>5</v>
      </c>
      <c r="B18" s="4"/>
      <c r="C18" s="74">
        <f t="shared" ref="C18:AG18" si="1">IFERROR(IF(MONTH(DATE(YEAR($B$4),MONTH($B$4),C$17))=MONTH($B$4),DATE(YEAR($B$4),MONTH($B$4),C$17),""),"")</f>
        <v>46235</v>
      </c>
      <c r="D18" s="74">
        <f t="shared" si="1"/>
        <v>46236</v>
      </c>
      <c r="E18" s="74">
        <f t="shared" si="1"/>
        <v>46237</v>
      </c>
      <c r="F18" s="74">
        <f t="shared" si="1"/>
        <v>46238</v>
      </c>
      <c r="G18" s="74">
        <f t="shared" si="1"/>
        <v>46239</v>
      </c>
      <c r="H18" s="74">
        <f t="shared" si="1"/>
        <v>46240</v>
      </c>
      <c r="I18" s="74">
        <f t="shared" si="1"/>
        <v>46241</v>
      </c>
      <c r="J18" s="74">
        <f t="shared" si="1"/>
        <v>46242</v>
      </c>
      <c r="K18" s="74">
        <f t="shared" si="1"/>
        <v>46243</v>
      </c>
      <c r="L18" s="74">
        <f t="shared" si="1"/>
        <v>46244</v>
      </c>
      <c r="M18" s="74">
        <f t="shared" si="1"/>
        <v>46245</v>
      </c>
      <c r="N18" s="74">
        <f t="shared" si="1"/>
        <v>46246</v>
      </c>
      <c r="O18" s="74">
        <f t="shared" si="1"/>
        <v>46247</v>
      </c>
      <c r="P18" s="74">
        <f t="shared" si="1"/>
        <v>46248</v>
      </c>
      <c r="Q18" s="74">
        <f t="shared" si="1"/>
        <v>46249</v>
      </c>
      <c r="R18" s="74">
        <f t="shared" si="1"/>
        <v>46250</v>
      </c>
      <c r="S18" s="74">
        <f t="shared" si="1"/>
        <v>46251</v>
      </c>
      <c r="T18" s="74">
        <f t="shared" si="1"/>
        <v>46252</v>
      </c>
      <c r="U18" s="74">
        <f t="shared" si="1"/>
        <v>46253</v>
      </c>
      <c r="V18" s="74">
        <f t="shared" si="1"/>
        <v>46254</v>
      </c>
      <c r="W18" s="74">
        <f t="shared" si="1"/>
        <v>46255</v>
      </c>
      <c r="X18" s="74">
        <f t="shared" si="1"/>
        <v>46256</v>
      </c>
      <c r="Y18" s="74">
        <f t="shared" si="1"/>
        <v>46257</v>
      </c>
      <c r="Z18" s="74">
        <f t="shared" si="1"/>
        <v>46258</v>
      </c>
      <c r="AA18" s="74">
        <f t="shared" si="1"/>
        <v>46259</v>
      </c>
      <c r="AB18" s="74">
        <f t="shared" si="1"/>
        <v>46260</v>
      </c>
      <c r="AC18" s="74">
        <f t="shared" si="1"/>
        <v>46261</v>
      </c>
      <c r="AD18" s="74">
        <f t="shared" si="1"/>
        <v>46262</v>
      </c>
      <c r="AE18" s="74">
        <f t="shared" si="1"/>
        <v>46263</v>
      </c>
      <c r="AF18" s="74">
        <f t="shared" si="1"/>
        <v>46264</v>
      </c>
      <c r="AG18" s="74">
        <f t="shared" si="1"/>
        <v>46265</v>
      </c>
      <c r="AH18" s="72"/>
      <c r="AI18" s="72"/>
      <c r="AJ18" s="72"/>
      <c r="AK18" s="72"/>
    </row>
    <row r="19">
      <c r="A19" s="4" t="s">
        <v>215</v>
      </c>
      <c r="B19" s="4"/>
      <c r="C19" s="71">
        <f t="shared" ref="C19:AG19" si="2">IFERROR(IF(C18="","",IF(CHOOSE(WEEKDAY(C18,2),$B$9,$B$10,$B$11,$B$12,$B$13,$B$14,$B$15)="Có",1,0)),"")</f>
        <v>0</v>
      </c>
      <c r="D19" s="71">
        <f t="shared" si="2"/>
        <v>1</v>
      </c>
      <c r="E19" s="71">
        <f t="shared" si="2"/>
        <v>0</v>
      </c>
      <c r="F19" s="71">
        <f t="shared" si="2"/>
        <v>1</v>
      </c>
      <c r="G19" s="71">
        <f t="shared" si="2"/>
        <v>0</v>
      </c>
      <c r="H19" s="71">
        <f t="shared" si="2"/>
        <v>0</v>
      </c>
      <c r="I19" s="71">
        <f t="shared" si="2"/>
        <v>0</v>
      </c>
      <c r="J19" s="71">
        <f t="shared" si="2"/>
        <v>0</v>
      </c>
      <c r="K19" s="71">
        <f t="shared" si="2"/>
        <v>1</v>
      </c>
      <c r="L19" s="71">
        <f t="shared" si="2"/>
        <v>0</v>
      </c>
      <c r="M19" s="71">
        <f t="shared" si="2"/>
        <v>1</v>
      </c>
      <c r="N19" s="71">
        <f t="shared" si="2"/>
        <v>0</v>
      </c>
      <c r="O19" s="71">
        <f t="shared" si="2"/>
        <v>0</v>
      </c>
      <c r="P19" s="71">
        <f t="shared" si="2"/>
        <v>0</v>
      </c>
      <c r="Q19" s="71">
        <f t="shared" si="2"/>
        <v>0</v>
      </c>
      <c r="R19" s="71">
        <f t="shared" si="2"/>
        <v>1</v>
      </c>
      <c r="S19" s="71">
        <f t="shared" si="2"/>
        <v>0</v>
      </c>
      <c r="T19" s="71">
        <f t="shared" si="2"/>
        <v>1</v>
      </c>
      <c r="U19" s="71">
        <f t="shared" si="2"/>
        <v>0</v>
      </c>
      <c r="V19" s="71">
        <f t="shared" si="2"/>
        <v>0</v>
      </c>
      <c r="W19" s="71">
        <f t="shared" si="2"/>
        <v>0</v>
      </c>
      <c r="X19" s="71">
        <f t="shared" si="2"/>
        <v>0</v>
      </c>
      <c r="Y19" s="71">
        <f t="shared" si="2"/>
        <v>1</v>
      </c>
      <c r="Z19" s="71">
        <f t="shared" si="2"/>
        <v>0</v>
      </c>
      <c r="AA19" s="71">
        <f t="shared" si="2"/>
        <v>1</v>
      </c>
      <c r="AB19" s="71">
        <f t="shared" si="2"/>
        <v>0</v>
      </c>
      <c r="AC19" s="71">
        <f t="shared" si="2"/>
        <v>0</v>
      </c>
      <c r="AD19" s="71">
        <f t="shared" si="2"/>
        <v>0</v>
      </c>
      <c r="AE19" s="71">
        <f t="shared" si="2"/>
        <v>0</v>
      </c>
      <c r="AF19" s="71">
        <f t="shared" si="2"/>
        <v>1</v>
      </c>
      <c r="AG19" s="71">
        <f t="shared" si="2"/>
        <v>0</v>
      </c>
      <c r="AH19" s="72"/>
      <c r="AI19" s="72"/>
      <c r="AJ19" s="72"/>
      <c r="AK19" s="72"/>
    </row>
    <row r="20" ht="27.75" customHeight="1">
      <c r="A20" s="5" t="s">
        <v>14</v>
      </c>
      <c r="B20" s="5" t="s">
        <v>16</v>
      </c>
      <c r="C20" s="5" t="s">
        <v>216</v>
      </c>
      <c r="D20" s="5" t="s">
        <v>217</v>
      </c>
      <c r="E20" s="5" t="s">
        <v>218</v>
      </c>
      <c r="F20" s="5" t="s">
        <v>219</v>
      </c>
      <c r="G20" s="5" t="s">
        <v>220</v>
      </c>
      <c r="H20" s="5" t="s">
        <v>221</v>
      </c>
      <c r="I20" s="5" t="s">
        <v>222</v>
      </c>
      <c r="J20" s="5" t="s">
        <v>223</v>
      </c>
      <c r="K20" s="5" t="s">
        <v>224</v>
      </c>
      <c r="L20" s="5" t="s">
        <v>225</v>
      </c>
      <c r="M20" s="5" t="s">
        <v>226</v>
      </c>
      <c r="N20" s="5" t="s">
        <v>227</v>
      </c>
      <c r="O20" s="5" t="s">
        <v>228</v>
      </c>
      <c r="P20" s="5" t="s">
        <v>229</v>
      </c>
      <c r="Q20" s="5" t="s">
        <v>230</v>
      </c>
      <c r="R20" s="5" t="s">
        <v>231</v>
      </c>
      <c r="S20" s="5" t="s">
        <v>232</v>
      </c>
      <c r="T20" s="5" t="s">
        <v>233</v>
      </c>
      <c r="U20" s="5" t="s">
        <v>234</v>
      </c>
      <c r="V20" s="5" t="s">
        <v>235</v>
      </c>
      <c r="W20" s="5" t="s">
        <v>236</v>
      </c>
      <c r="X20" s="5" t="s">
        <v>237</v>
      </c>
      <c r="Y20" s="5" t="s">
        <v>238</v>
      </c>
      <c r="Z20" s="5" t="s">
        <v>239</v>
      </c>
      <c r="AA20" s="5" t="s">
        <v>240</v>
      </c>
      <c r="AB20" s="5" t="s">
        <v>241</v>
      </c>
      <c r="AC20" s="5" t="s">
        <v>242</v>
      </c>
      <c r="AD20" s="5" t="s">
        <v>243</v>
      </c>
      <c r="AE20" s="5" t="s">
        <v>244</v>
      </c>
      <c r="AF20" s="5" t="s">
        <v>246</v>
      </c>
      <c r="AG20" s="5" t="s">
        <v>247</v>
      </c>
      <c r="AH20" s="5" t="s">
        <v>248</v>
      </c>
      <c r="AI20" s="5" t="s">
        <v>249</v>
      </c>
      <c r="AJ20" s="5" t="s">
        <v>250</v>
      </c>
      <c r="AK20" s="5" t="s">
        <v>15</v>
      </c>
    </row>
    <row r="21" ht="15.75" customHeight="1">
      <c r="A21" s="79" t="s">
        <v>298</v>
      </c>
      <c r="B21" s="50" t="s">
        <v>299</v>
      </c>
      <c r="C21" s="76"/>
      <c r="D21" s="77" t="s">
        <v>253</v>
      </c>
      <c r="E21" s="76"/>
      <c r="F21" s="77" t="s">
        <v>253</v>
      </c>
      <c r="G21" s="76"/>
      <c r="H21" s="76"/>
      <c r="I21" s="76"/>
      <c r="J21" s="76"/>
      <c r="K21" s="76"/>
      <c r="L21" s="76"/>
      <c r="M21" s="77" t="s">
        <v>253</v>
      </c>
      <c r="N21" s="76"/>
      <c r="O21" s="76"/>
      <c r="P21" s="76"/>
      <c r="Q21" s="76"/>
      <c r="R21" s="77" t="s">
        <v>253</v>
      </c>
      <c r="S21" s="76"/>
      <c r="T21" s="77" t="s">
        <v>253</v>
      </c>
      <c r="U21" s="76"/>
      <c r="V21" s="76"/>
      <c r="W21" s="76"/>
      <c r="X21" s="76"/>
      <c r="Y21" s="77" t="s">
        <v>253</v>
      </c>
      <c r="Z21" s="76"/>
      <c r="AA21" s="77" t="s">
        <v>253</v>
      </c>
      <c r="AB21" s="76"/>
      <c r="AC21" s="76"/>
      <c r="AD21" s="76"/>
      <c r="AE21" s="76"/>
      <c r="AF21" s="76"/>
      <c r="AG21" s="76"/>
      <c r="AH21" s="51">
        <f t="shared" ref="AH21:AH49" si="3">IF(A21="","",COUNTIF(C21:AG21,"C"))</f>
        <v>7</v>
      </c>
      <c r="AI21" s="51">
        <f t="shared" ref="AI21:AI49" si="4">IF(A21="","",COUNTIF(C21:AG21,"N")+COUNTIF(C21:AG21,"P"))</f>
        <v>0</v>
      </c>
      <c r="AJ21" s="51">
        <f t="shared" ref="AJ21:AJ49" si="5">IF(A21="","",MAX(0,$B$16-AH21-AI21))</f>
        <v>2</v>
      </c>
      <c r="AK21" s="78"/>
    </row>
    <row r="22" ht="15.75" customHeight="1">
      <c r="A22" s="79" t="s">
        <v>311</v>
      </c>
      <c r="B22" s="50" t="s">
        <v>312</v>
      </c>
      <c r="C22" s="76"/>
      <c r="D22" s="77" t="s">
        <v>253</v>
      </c>
      <c r="E22" s="76"/>
      <c r="F22" s="77" t="s">
        <v>253</v>
      </c>
      <c r="G22" s="76"/>
      <c r="H22" s="76"/>
      <c r="I22" s="76"/>
      <c r="J22" s="76"/>
      <c r="K22" s="76"/>
      <c r="L22" s="76"/>
      <c r="M22" s="77" t="s">
        <v>253</v>
      </c>
      <c r="N22" s="76"/>
      <c r="O22" s="76"/>
      <c r="P22" s="76"/>
      <c r="Q22" s="76"/>
      <c r="R22" s="77" t="s">
        <v>253</v>
      </c>
      <c r="S22" s="76"/>
      <c r="T22" s="77" t="s">
        <v>253</v>
      </c>
      <c r="U22" s="76"/>
      <c r="V22" s="76"/>
      <c r="W22" s="76"/>
      <c r="X22" s="76"/>
      <c r="Y22" s="77" t="s">
        <v>253</v>
      </c>
      <c r="Z22" s="76"/>
      <c r="AA22" s="77" t="s">
        <v>253</v>
      </c>
      <c r="AB22" s="76"/>
      <c r="AC22" s="76"/>
      <c r="AD22" s="76"/>
      <c r="AE22" s="76"/>
      <c r="AF22" s="76"/>
      <c r="AG22" s="76"/>
      <c r="AH22" s="51">
        <f t="shared" si="3"/>
        <v>7</v>
      </c>
      <c r="AI22" s="51">
        <f t="shared" si="4"/>
        <v>0</v>
      </c>
      <c r="AJ22" s="51">
        <f t="shared" si="5"/>
        <v>2</v>
      </c>
      <c r="AK22" s="78"/>
    </row>
    <row r="23" ht="15.75" customHeight="1">
      <c r="A23" s="79" t="s">
        <v>316</v>
      </c>
      <c r="B23" s="50" t="s">
        <v>317</v>
      </c>
      <c r="C23" s="76"/>
      <c r="D23" s="77" t="s">
        <v>253</v>
      </c>
      <c r="E23" s="76"/>
      <c r="F23" s="77" t="s">
        <v>253</v>
      </c>
      <c r="G23" s="76"/>
      <c r="H23" s="76"/>
      <c r="I23" s="76"/>
      <c r="J23" s="76"/>
      <c r="K23" s="76"/>
      <c r="L23" s="76"/>
      <c r="M23" s="77" t="s">
        <v>253</v>
      </c>
      <c r="N23" s="76"/>
      <c r="O23" s="76"/>
      <c r="P23" s="76"/>
      <c r="Q23" s="76"/>
      <c r="R23" s="77" t="s">
        <v>253</v>
      </c>
      <c r="S23" s="76"/>
      <c r="T23" s="77" t="s">
        <v>253</v>
      </c>
      <c r="U23" s="76"/>
      <c r="V23" s="76"/>
      <c r="W23" s="76"/>
      <c r="X23" s="76"/>
      <c r="Y23" s="77" t="s">
        <v>253</v>
      </c>
      <c r="Z23" s="76"/>
      <c r="AA23" s="77" t="s">
        <v>253</v>
      </c>
      <c r="AB23" s="76"/>
      <c r="AC23" s="76"/>
      <c r="AD23" s="76"/>
      <c r="AE23" s="76"/>
      <c r="AF23" s="76"/>
      <c r="AG23" s="76"/>
      <c r="AH23" s="51">
        <f t="shared" si="3"/>
        <v>7</v>
      </c>
      <c r="AI23" s="51">
        <f t="shared" si="4"/>
        <v>0</v>
      </c>
      <c r="AJ23" s="51">
        <f t="shared" si="5"/>
        <v>2</v>
      </c>
      <c r="AK23" s="78"/>
    </row>
    <row r="24" ht="15.75" customHeight="1">
      <c r="A24" s="79" t="s">
        <v>321</v>
      </c>
      <c r="B24" s="50" t="s">
        <v>322</v>
      </c>
      <c r="C24" s="76"/>
      <c r="D24" s="77" t="s">
        <v>253</v>
      </c>
      <c r="E24" s="76"/>
      <c r="F24" s="77" t="s">
        <v>253</v>
      </c>
      <c r="G24" s="76"/>
      <c r="H24" s="76"/>
      <c r="I24" s="76"/>
      <c r="J24" s="76"/>
      <c r="K24" s="76"/>
      <c r="L24" s="76"/>
      <c r="M24" s="77" t="s">
        <v>253</v>
      </c>
      <c r="N24" s="76"/>
      <c r="O24" s="76"/>
      <c r="P24" s="76"/>
      <c r="Q24" s="76"/>
      <c r="R24" s="77" t="s">
        <v>253</v>
      </c>
      <c r="S24" s="76"/>
      <c r="T24" s="77" t="s">
        <v>253</v>
      </c>
      <c r="U24" s="76"/>
      <c r="V24" s="76"/>
      <c r="W24" s="76"/>
      <c r="X24" s="76"/>
      <c r="Y24" s="77" t="s">
        <v>253</v>
      </c>
      <c r="Z24" s="76"/>
      <c r="AA24" s="77" t="s">
        <v>253</v>
      </c>
      <c r="AB24" s="76"/>
      <c r="AC24" s="76"/>
      <c r="AD24" s="76"/>
      <c r="AE24" s="76"/>
      <c r="AF24" s="76"/>
      <c r="AG24" s="76"/>
      <c r="AH24" s="51">
        <f t="shared" si="3"/>
        <v>7</v>
      </c>
      <c r="AI24" s="51">
        <f t="shared" si="4"/>
        <v>0</v>
      </c>
      <c r="AJ24" s="51">
        <f t="shared" si="5"/>
        <v>2</v>
      </c>
      <c r="AK24" s="78"/>
    </row>
    <row r="25" ht="15.75" customHeight="1">
      <c r="A25" s="79" t="s">
        <v>326</v>
      </c>
      <c r="B25" s="50" t="s">
        <v>327</v>
      </c>
      <c r="C25" s="76"/>
      <c r="D25" s="77" t="s">
        <v>253</v>
      </c>
      <c r="E25" s="76"/>
      <c r="F25" s="77" t="s">
        <v>253</v>
      </c>
      <c r="G25" s="76"/>
      <c r="H25" s="76"/>
      <c r="I25" s="76"/>
      <c r="J25" s="76"/>
      <c r="K25" s="76"/>
      <c r="L25" s="76"/>
      <c r="M25" s="77" t="s">
        <v>253</v>
      </c>
      <c r="N25" s="76"/>
      <c r="O25" s="76"/>
      <c r="P25" s="76"/>
      <c r="Q25" s="76"/>
      <c r="R25" s="77" t="s">
        <v>253</v>
      </c>
      <c r="S25" s="76"/>
      <c r="T25" s="77" t="s">
        <v>253</v>
      </c>
      <c r="U25" s="76"/>
      <c r="V25" s="76"/>
      <c r="W25" s="76"/>
      <c r="X25" s="76"/>
      <c r="Y25" s="77" t="s">
        <v>253</v>
      </c>
      <c r="Z25" s="76"/>
      <c r="AA25" s="77" t="s">
        <v>253</v>
      </c>
      <c r="AB25" s="76"/>
      <c r="AC25" s="76"/>
      <c r="AD25" s="76"/>
      <c r="AE25" s="76"/>
      <c r="AF25" s="76"/>
      <c r="AG25" s="76"/>
      <c r="AH25" s="51">
        <f t="shared" si="3"/>
        <v>7</v>
      </c>
      <c r="AI25" s="51">
        <f t="shared" si="4"/>
        <v>0</v>
      </c>
      <c r="AJ25" s="51">
        <f t="shared" si="5"/>
        <v>2</v>
      </c>
      <c r="AK25" s="78"/>
    </row>
    <row r="26" ht="15.75" customHeight="1">
      <c r="A26" s="79" t="s">
        <v>331</v>
      </c>
      <c r="B26" s="50" t="s">
        <v>332</v>
      </c>
      <c r="C26" s="76"/>
      <c r="D26" s="77" t="s">
        <v>254</v>
      </c>
      <c r="E26" s="76"/>
      <c r="F26" s="77" t="s">
        <v>253</v>
      </c>
      <c r="G26" s="76"/>
      <c r="H26" s="76"/>
      <c r="I26" s="76"/>
      <c r="J26" s="76"/>
      <c r="K26" s="76"/>
      <c r="L26" s="76"/>
      <c r="M26" s="77" t="s">
        <v>253</v>
      </c>
      <c r="N26" s="76"/>
      <c r="O26" s="76"/>
      <c r="P26" s="76"/>
      <c r="Q26" s="76"/>
      <c r="R26" s="77" t="s">
        <v>253</v>
      </c>
      <c r="S26" s="76"/>
      <c r="T26" s="77" t="s">
        <v>253</v>
      </c>
      <c r="U26" s="76"/>
      <c r="V26" s="76"/>
      <c r="W26" s="76"/>
      <c r="X26" s="76"/>
      <c r="Y26" s="77" t="s">
        <v>253</v>
      </c>
      <c r="Z26" s="76"/>
      <c r="AA26" s="77" t="s">
        <v>253</v>
      </c>
      <c r="AB26" s="76"/>
      <c r="AC26" s="76"/>
      <c r="AD26" s="76"/>
      <c r="AE26" s="76"/>
      <c r="AF26" s="76"/>
      <c r="AG26" s="76"/>
      <c r="AH26" s="51">
        <f t="shared" si="3"/>
        <v>6</v>
      </c>
      <c r="AI26" s="51">
        <f t="shared" si="4"/>
        <v>1</v>
      </c>
      <c r="AJ26" s="51">
        <f t="shared" si="5"/>
        <v>2</v>
      </c>
      <c r="AK26" s="78"/>
    </row>
    <row r="27" ht="15.75" customHeight="1">
      <c r="A27" s="79" t="s">
        <v>336</v>
      </c>
      <c r="B27" s="50" t="s">
        <v>337</v>
      </c>
      <c r="C27" s="76"/>
      <c r="D27" s="77" t="s">
        <v>254</v>
      </c>
      <c r="E27" s="76"/>
      <c r="F27" s="77" t="s">
        <v>253</v>
      </c>
      <c r="G27" s="76"/>
      <c r="H27" s="76"/>
      <c r="I27" s="76"/>
      <c r="J27" s="76"/>
      <c r="K27" s="76"/>
      <c r="L27" s="76"/>
      <c r="M27" s="77" t="s">
        <v>253</v>
      </c>
      <c r="N27" s="76"/>
      <c r="O27" s="76"/>
      <c r="P27" s="76"/>
      <c r="Q27" s="76"/>
      <c r="R27" s="77" t="s">
        <v>253</v>
      </c>
      <c r="S27" s="76"/>
      <c r="T27" s="77" t="s">
        <v>253</v>
      </c>
      <c r="U27" s="76"/>
      <c r="V27" s="76"/>
      <c r="W27" s="76"/>
      <c r="X27" s="76"/>
      <c r="Y27" s="77" t="s">
        <v>253</v>
      </c>
      <c r="Z27" s="76"/>
      <c r="AA27" s="77" t="s">
        <v>253</v>
      </c>
      <c r="AB27" s="76"/>
      <c r="AC27" s="76"/>
      <c r="AD27" s="76"/>
      <c r="AE27" s="76"/>
      <c r="AF27" s="76"/>
      <c r="AG27" s="76"/>
      <c r="AH27" s="51">
        <f t="shared" si="3"/>
        <v>6</v>
      </c>
      <c r="AI27" s="51">
        <f t="shared" si="4"/>
        <v>1</v>
      </c>
      <c r="AJ27" s="51">
        <f t="shared" si="5"/>
        <v>2</v>
      </c>
      <c r="AK27" s="78"/>
    </row>
    <row r="28" ht="15.75" customHeight="1">
      <c r="A28" s="50"/>
      <c r="B28" s="50"/>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51" t="str">
        <f t="shared" si="3"/>
        <v/>
      </c>
      <c r="AI28" s="51" t="str">
        <f t="shared" si="4"/>
        <v/>
      </c>
      <c r="AJ28" s="51" t="str">
        <f t="shared" si="5"/>
        <v/>
      </c>
      <c r="AK28" s="78"/>
    </row>
    <row r="29" ht="15.75" customHeight="1">
      <c r="A29" s="50"/>
      <c r="B29" s="50"/>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c r="AF29" s="76"/>
      <c r="AG29" s="76"/>
      <c r="AH29" s="51" t="str">
        <f t="shared" si="3"/>
        <v/>
      </c>
      <c r="AI29" s="51" t="str">
        <f t="shared" si="4"/>
        <v/>
      </c>
      <c r="AJ29" s="51" t="str">
        <f t="shared" si="5"/>
        <v/>
      </c>
      <c r="AK29" s="78"/>
    </row>
    <row r="30" ht="15.75" customHeight="1">
      <c r="A30" s="50"/>
      <c r="B30" s="50"/>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6"/>
      <c r="AD30" s="76"/>
      <c r="AE30" s="76"/>
      <c r="AF30" s="76"/>
      <c r="AG30" s="76"/>
      <c r="AH30" s="51" t="str">
        <f t="shared" si="3"/>
        <v/>
      </c>
      <c r="AI30" s="51" t="str">
        <f t="shared" si="4"/>
        <v/>
      </c>
      <c r="AJ30" s="51" t="str">
        <f t="shared" si="5"/>
        <v/>
      </c>
      <c r="AK30" s="78"/>
    </row>
    <row r="31" ht="15.75" customHeight="1">
      <c r="A31" s="50"/>
      <c r="B31" s="50"/>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c r="AF31" s="76"/>
      <c r="AG31" s="76"/>
      <c r="AH31" s="51" t="str">
        <f t="shared" si="3"/>
        <v/>
      </c>
      <c r="AI31" s="51" t="str">
        <f t="shared" si="4"/>
        <v/>
      </c>
      <c r="AJ31" s="51" t="str">
        <f t="shared" si="5"/>
        <v/>
      </c>
      <c r="AK31" s="78"/>
    </row>
    <row r="32" ht="15.75" customHeight="1">
      <c r="A32" s="50"/>
      <c r="B32" s="50"/>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51" t="str">
        <f t="shared" si="3"/>
        <v/>
      </c>
      <c r="AI32" s="51" t="str">
        <f t="shared" si="4"/>
        <v/>
      </c>
      <c r="AJ32" s="51" t="str">
        <f t="shared" si="5"/>
        <v/>
      </c>
      <c r="AK32" s="78"/>
    </row>
    <row r="33" ht="15.75" customHeight="1">
      <c r="A33" s="50"/>
      <c r="B33" s="50"/>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c r="AF33" s="76"/>
      <c r="AG33" s="76"/>
      <c r="AH33" s="51" t="str">
        <f t="shared" si="3"/>
        <v/>
      </c>
      <c r="AI33" s="51" t="str">
        <f t="shared" si="4"/>
        <v/>
      </c>
      <c r="AJ33" s="51" t="str">
        <f t="shared" si="5"/>
        <v/>
      </c>
      <c r="AK33" s="78"/>
    </row>
    <row r="34" ht="15.75" customHeight="1">
      <c r="A34" s="50"/>
      <c r="B34" s="50"/>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c r="AF34" s="76"/>
      <c r="AG34" s="76"/>
      <c r="AH34" s="51" t="str">
        <f t="shared" si="3"/>
        <v/>
      </c>
      <c r="AI34" s="51" t="str">
        <f t="shared" si="4"/>
        <v/>
      </c>
      <c r="AJ34" s="51" t="str">
        <f t="shared" si="5"/>
        <v/>
      </c>
      <c r="AK34" s="78"/>
    </row>
    <row r="35" ht="15.75" customHeight="1">
      <c r="A35" s="50"/>
      <c r="B35" s="50"/>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6"/>
      <c r="AF35" s="76"/>
      <c r="AG35" s="76"/>
      <c r="AH35" s="51" t="str">
        <f t="shared" si="3"/>
        <v/>
      </c>
      <c r="AI35" s="51" t="str">
        <f t="shared" si="4"/>
        <v/>
      </c>
      <c r="AJ35" s="51" t="str">
        <f t="shared" si="5"/>
        <v/>
      </c>
      <c r="AK35" s="78"/>
    </row>
    <row r="36" ht="15.75" customHeight="1">
      <c r="A36" s="50"/>
      <c r="B36" s="50"/>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51" t="str">
        <f t="shared" si="3"/>
        <v/>
      </c>
      <c r="AI36" s="51" t="str">
        <f t="shared" si="4"/>
        <v/>
      </c>
      <c r="AJ36" s="51" t="str">
        <f t="shared" si="5"/>
        <v/>
      </c>
      <c r="AK36" s="78"/>
    </row>
    <row r="37" ht="15.75" customHeight="1">
      <c r="A37" s="50"/>
      <c r="B37" s="50"/>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51" t="str">
        <f t="shared" si="3"/>
        <v/>
      </c>
      <c r="AI37" s="51" t="str">
        <f t="shared" si="4"/>
        <v/>
      </c>
      <c r="AJ37" s="51" t="str">
        <f t="shared" si="5"/>
        <v/>
      </c>
      <c r="AK37" s="78"/>
    </row>
    <row r="38" ht="15.75" customHeight="1">
      <c r="A38" s="50"/>
      <c r="B38" s="50"/>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6"/>
      <c r="AC38" s="76"/>
      <c r="AD38" s="76"/>
      <c r="AE38" s="76"/>
      <c r="AF38" s="76"/>
      <c r="AG38" s="76"/>
      <c r="AH38" s="51" t="str">
        <f t="shared" si="3"/>
        <v/>
      </c>
      <c r="AI38" s="51" t="str">
        <f t="shared" si="4"/>
        <v/>
      </c>
      <c r="AJ38" s="51" t="str">
        <f t="shared" si="5"/>
        <v/>
      </c>
      <c r="AK38" s="78"/>
    </row>
    <row r="39" ht="15.75" customHeight="1">
      <c r="A39" s="50"/>
      <c r="B39" s="50"/>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51" t="str">
        <f t="shared" si="3"/>
        <v/>
      </c>
      <c r="AI39" s="51" t="str">
        <f t="shared" si="4"/>
        <v/>
      </c>
      <c r="AJ39" s="51" t="str">
        <f t="shared" si="5"/>
        <v/>
      </c>
      <c r="AK39" s="78"/>
    </row>
    <row r="40" ht="15.75" customHeight="1">
      <c r="A40" s="50"/>
      <c r="B40" s="50"/>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51" t="str">
        <f t="shared" si="3"/>
        <v/>
      </c>
      <c r="AI40" s="51" t="str">
        <f t="shared" si="4"/>
        <v/>
      </c>
      <c r="AJ40" s="51" t="str">
        <f t="shared" si="5"/>
        <v/>
      </c>
      <c r="AK40" s="78"/>
    </row>
    <row r="41" ht="15.75" customHeight="1">
      <c r="A41" s="50"/>
      <c r="B41" s="50"/>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c r="AF41" s="76"/>
      <c r="AG41" s="76"/>
      <c r="AH41" s="51" t="str">
        <f t="shared" si="3"/>
        <v/>
      </c>
      <c r="AI41" s="51" t="str">
        <f t="shared" si="4"/>
        <v/>
      </c>
      <c r="AJ41" s="51" t="str">
        <f t="shared" si="5"/>
        <v/>
      </c>
      <c r="AK41" s="78"/>
    </row>
    <row r="42" ht="15.75" customHeight="1">
      <c r="A42" s="50"/>
      <c r="B42" s="50"/>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51" t="str">
        <f t="shared" si="3"/>
        <v/>
      </c>
      <c r="AI42" s="51" t="str">
        <f t="shared" si="4"/>
        <v/>
      </c>
      <c r="AJ42" s="51" t="str">
        <f t="shared" si="5"/>
        <v/>
      </c>
      <c r="AK42" s="78"/>
    </row>
    <row r="43" ht="15.75" customHeight="1">
      <c r="A43" s="50"/>
      <c r="B43" s="50"/>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51" t="str">
        <f t="shared" si="3"/>
        <v/>
      </c>
      <c r="AI43" s="51" t="str">
        <f t="shared" si="4"/>
        <v/>
      </c>
      <c r="AJ43" s="51" t="str">
        <f t="shared" si="5"/>
        <v/>
      </c>
      <c r="AK43" s="78"/>
    </row>
    <row r="44" ht="15.75" customHeight="1">
      <c r="A44" s="50"/>
      <c r="B44" s="50"/>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51" t="str">
        <f t="shared" si="3"/>
        <v/>
      </c>
      <c r="AI44" s="51" t="str">
        <f t="shared" si="4"/>
        <v/>
      </c>
      <c r="AJ44" s="51" t="str">
        <f t="shared" si="5"/>
        <v/>
      </c>
      <c r="AK44" s="78"/>
    </row>
    <row r="45" ht="15.75" customHeight="1">
      <c r="A45" s="50"/>
      <c r="B45" s="50"/>
      <c r="C45" s="76"/>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51" t="str">
        <f t="shared" si="3"/>
        <v/>
      </c>
      <c r="AI45" s="51" t="str">
        <f t="shared" si="4"/>
        <v/>
      </c>
      <c r="AJ45" s="51" t="str">
        <f t="shared" si="5"/>
        <v/>
      </c>
      <c r="AK45" s="78"/>
    </row>
    <row r="46" ht="15.75" customHeight="1">
      <c r="A46" s="50"/>
      <c r="B46" s="50"/>
      <c r="C46" s="76"/>
      <c r="D46" s="76"/>
      <c r="E46" s="76"/>
      <c r="F46" s="76"/>
      <c r="G46" s="76"/>
      <c r="H46" s="76"/>
      <c r="I46" s="76"/>
      <c r="J46" s="76"/>
      <c r="K46" s="76"/>
      <c r="L46" s="76"/>
      <c r="M46" s="76"/>
      <c r="N46" s="76"/>
      <c r="O46" s="76"/>
      <c r="P46" s="76"/>
      <c r="Q46" s="76"/>
      <c r="R46" s="76"/>
      <c r="S46" s="76"/>
      <c r="T46" s="76"/>
      <c r="U46" s="76"/>
      <c r="V46" s="76"/>
      <c r="W46" s="76"/>
      <c r="X46" s="76"/>
      <c r="Y46" s="76"/>
      <c r="Z46" s="76"/>
      <c r="AA46" s="76"/>
      <c r="AB46" s="76"/>
      <c r="AC46" s="76"/>
      <c r="AD46" s="76"/>
      <c r="AE46" s="76"/>
      <c r="AF46" s="76"/>
      <c r="AG46" s="76"/>
      <c r="AH46" s="51" t="str">
        <f t="shared" si="3"/>
        <v/>
      </c>
      <c r="AI46" s="51" t="str">
        <f t="shared" si="4"/>
        <v/>
      </c>
      <c r="AJ46" s="51" t="str">
        <f t="shared" si="5"/>
        <v/>
      </c>
      <c r="AK46" s="78"/>
    </row>
    <row r="47" ht="15.75" customHeight="1">
      <c r="A47" s="50"/>
      <c r="B47" s="50"/>
      <c r="C47" s="76"/>
      <c r="D47" s="76"/>
      <c r="E47" s="76"/>
      <c r="F47" s="76"/>
      <c r="G47" s="76"/>
      <c r="H47" s="76"/>
      <c r="I47" s="76"/>
      <c r="J47" s="76"/>
      <c r="K47" s="76"/>
      <c r="L47" s="76"/>
      <c r="M47" s="76"/>
      <c r="N47" s="76"/>
      <c r="O47" s="76"/>
      <c r="P47" s="76"/>
      <c r="Q47" s="76"/>
      <c r="R47" s="76"/>
      <c r="S47" s="76"/>
      <c r="T47" s="76"/>
      <c r="U47" s="76"/>
      <c r="V47" s="76"/>
      <c r="W47" s="76"/>
      <c r="X47" s="76"/>
      <c r="Y47" s="76"/>
      <c r="Z47" s="76"/>
      <c r="AA47" s="76"/>
      <c r="AB47" s="76"/>
      <c r="AC47" s="76"/>
      <c r="AD47" s="76"/>
      <c r="AE47" s="76"/>
      <c r="AF47" s="76"/>
      <c r="AG47" s="76"/>
      <c r="AH47" s="51" t="str">
        <f t="shared" si="3"/>
        <v/>
      </c>
      <c r="AI47" s="51" t="str">
        <f t="shared" si="4"/>
        <v/>
      </c>
      <c r="AJ47" s="51" t="str">
        <f t="shared" si="5"/>
        <v/>
      </c>
      <c r="AK47" s="78"/>
    </row>
    <row r="48" ht="15.75" customHeight="1">
      <c r="A48" s="50"/>
      <c r="B48" s="50"/>
      <c r="C48" s="76"/>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51" t="str">
        <f t="shared" si="3"/>
        <v/>
      </c>
      <c r="AI48" s="51" t="str">
        <f t="shared" si="4"/>
        <v/>
      </c>
      <c r="AJ48" s="51" t="str">
        <f t="shared" si="5"/>
        <v/>
      </c>
      <c r="AK48" s="78"/>
    </row>
    <row r="49" ht="15.75" customHeight="1">
      <c r="A49" s="50"/>
      <c r="B49" s="50"/>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51" t="str">
        <f t="shared" si="3"/>
        <v/>
      </c>
      <c r="AI49" s="51" t="str">
        <f t="shared" si="4"/>
        <v/>
      </c>
      <c r="AJ49" s="51" t="str">
        <f t="shared" si="5"/>
        <v/>
      </c>
      <c r="AK49" s="78"/>
    </row>
    <row r="50" ht="15.75" customHeight="1">
      <c r="A50" s="50"/>
      <c r="B50" s="50"/>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51"/>
      <c r="AI50" s="51"/>
      <c r="AJ50" s="51"/>
      <c r="AK50" s="14"/>
    </row>
    <row r="51" ht="15.75" customHeight="1">
      <c r="A51" s="50"/>
      <c r="B51" s="50"/>
      <c r="C51" s="76"/>
      <c r="D51" s="76"/>
      <c r="E51" s="76"/>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51"/>
      <c r="AI51" s="51"/>
      <c r="AJ51" s="51"/>
      <c r="AK51" s="14"/>
    </row>
    <row r="52" ht="15.75" customHeight="1">
      <c r="A52" s="50"/>
      <c r="B52" s="50"/>
      <c r="C52" s="76"/>
      <c r="D52" s="76"/>
      <c r="E52" s="76"/>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51"/>
      <c r="AI52" s="51"/>
      <c r="AJ52" s="51"/>
      <c r="AK52" s="14"/>
    </row>
    <row r="53" ht="15.75" customHeight="1">
      <c r="A53" s="50"/>
      <c r="B53" s="50"/>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51"/>
      <c r="AI53" s="51"/>
      <c r="AJ53" s="51"/>
      <c r="AK53" s="14"/>
    </row>
    <row r="54" ht="15.75" customHeight="1">
      <c r="A54" s="50"/>
      <c r="B54" s="50"/>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51"/>
      <c r="AI54" s="51"/>
      <c r="AJ54" s="51"/>
      <c r="AK54" s="14"/>
    </row>
    <row r="55" ht="15.75" customHeight="1">
      <c r="A55" s="50"/>
      <c r="B55" s="50"/>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51"/>
      <c r="AI55" s="51"/>
      <c r="AJ55" s="51"/>
      <c r="AK55" s="14"/>
    </row>
    <row r="56" ht="15.75" customHeight="1">
      <c r="A56" s="50"/>
      <c r="B56" s="50"/>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51"/>
      <c r="AI56" s="51"/>
      <c r="AJ56" s="51"/>
      <c r="AK56" s="14"/>
    </row>
    <row r="57" ht="15.75" customHeight="1">
      <c r="A57" s="50"/>
      <c r="B57" s="50"/>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51"/>
      <c r="AI57" s="51"/>
      <c r="AJ57" s="51"/>
      <c r="AK57" s="14"/>
    </row>
    <row r="58" ht="15.75" customHeight="1">
      <c r="A58" s="50"/>
      <c r="B58" s="50"/>
      <c r="C58" s="76"/>
      <c r="D58" s="76"/>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51"/>
      <c r="AI58" s="51"/>
      <c r="AJ58" s="51"/>
      <c r="AK58" s="14"/>
    </row>
    <row r="59" ht="15.75" customHeight="1">
      <c r="A59" s="50"/>
      <c r="B59" s="50"/>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51"/>
      <c r="AI59" s="51"/>
      <c r="AJ59" s="51"/>
      <c r="AK59" s="14"/>
    </row>
    <row r="60" ht="15.75" customHeight="1">
      <c r="A60" s="50"/>
      <c r="B60" s="50"/>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51"/>
      <c r="AI60" s="51"/>
      <c r="AJ60" s="51"/>
      <c r="AK60" s="14"/>
    </row>
    <row r="61" ht="15.75" customHeight="1">
      <c r="A61" s="50"/>
      <c r="B61" s="50"/>
      <c r="C61" s="76"/>
      <c r="D61" s="76"/>
      <c r="E61" s="76"/>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51"/>
      <c r="AI61" s="51"/>
      <c r="AJ61" s="51"/>
      <c r="AK61" s="14"/>
    </row>
    <row r="62" ht="15.75" customHeight="1">
      <c r="A62" s="50"/>
      <c r="B62" s="50"/>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51"/>
      <c r="AI62" s="51"/>
      <c r="AJ62" s="51"/>
      <c r="AK62" s="14"/>
    </row>
    <row r="63" ht="15.75" customHeight="1">
      <c r="A63" s="50"/>
      <c r="B63" s="50"/>
      <c r="C63" s="76"/>
      <c r="D63" s="76"/>
      <c r="E63" s="76"/>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51"/>
      <c r="AI63" s="51"/>
      <c r="AJ63" s="51"/>
      <c r="AK63" s="14"/>
    </row>
    <row r="64" ht="15.75" customHeight="1">
      <c r="A64" s="50"/>
      <c r="B64" s="50"/>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51"/>
      <c r="AI64" s="51"/>
      <c r="AJ64" s="51"/>
      <c r="AK64" s="14"/>
    </row>
    <row r="65" ht="15.75" customHeight="1">
      <c r="A65" s="50"/>
      <c r="B65" s="50"/>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51"/>
      <c r="AI65" s="51"/>
      <c r="AJ65" s="51"/>
      <c r="AK65" s="14"/>
    </row>
    <row r="66" ht="15.75" customHeight="1">
      <c r="A66" s="50"/>
      <c r="B66" s="50"/>
      <c r="C66" s="76"/>
      <c r="D66" s="76"/>
      <c r="E66" s="76"/>
      <c r="F66" s="76"/>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51"/>
      <c r="AI66" s="51"/>
      <c r="AJ66" s="51"/>
      <c r="AK66" s="14"/>
    </row>
    <row r="67" ht="15.75" customHeight="1">
      <c r="A67" s="50"/>
      <c r="B67" s="50"/>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51"/>
      <c r="AI67" s="51"/>
      <c r="AJ67" s="51"/>
      <c r="AK67" s="14"/>
    </row>
    <row r="68" ht="15.75" customHeight="1">
      <c r="A68" s="50"/>
      <c r="B68" s="50"/>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51"/>
      <c r="AI68" s="51"/>
      <c r="AJ68" s="51"/>
      <c r="AK68" s="14"/>
    </row>
    <row r="69" ht="15.75" customHeight="1">
      <c r="A69" s="50"/>
      <c r="B69" s="50"/>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51"/>
      <c r="AI69" s="51"/>
      <c r="AJ69" s="51"/>
      <c r="AK69" s="14"/>
    </row>
    <row r="70" ht="15.75" customHeight="1">
      <c r="A70" s="50"/>
      <c r="B70" s="50"/>
      <c r="C70" s="76"/>
      <c r="D70" s="76"/>
      <c r="E70" s="76"/>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51"/>
      <c r="AI70" s="51"/>
      <c r="AJ70" s="51"/>
      <c r="AK70" s="14"/>
    </row>
    <row r="71" ht="15.75" customHeight="1">
      <c r="A71" s="50"/>
      <c r="B71" s="50"/>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51"/>
      <c r="AI71" s="51"/>
      <c r="AJ71" s="51"/>
      <c r="AK71" s="14"/>
    </row>
    <row r="72" ht="15.75" customHeight="1">
      <c r="A72" s="50"/>
      <c r="B72" s="50"/>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51"/>
      <c r="AI72" s="51"/>
      <c r="AJ72" s="51"/>
      <c r="AK72" s="14"/>
    </row>
    <row r="73" ht="15.75" customHeight="1">
      <c r="A73" s="50"/>
      <c r="B73" s="50"/>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51"/>
      <c r="AI73" s="51"/>
      <c r="AJ73" s="51"/>
      <c r="AK73" s="14"/>
    </row>
    <row r="74" ht="15.75" customHeight="1">
      <c r="A74" s="50"/>
      <c r="B74" s="50"/>
      <c r="C74" s="76"/>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51"/>
      <c r="AI74" s="51"/>
      <c r="AJ74" s="51"/>
      <c r="AK74" s="14"/>
    </row>
    <row r="75" ht="15.75" customHeight="1">
      <c r="A75" s="50"/>
      <c r="B75" s="50"/>
      <c r="C75" s="76"/>
      <c r="D75" s="76"/>
      <c r="E75" s="76"/>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51"/>
      <c r="AI75" s="51"/>
      <c r="AJ75" s="51"/>
      <c r="AK75" s="14"/>
    </row>
    <row r="76" ht="15.75" customHeight="1">
      <c r="A76" s="50"/>
      <c r="B76" s="50"/>
      <c r="C76" s="76"/>
      <c r="D76" s="76"/>
      <c r="E76" s="76"/>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51"/>
      <c r="AI76" s="51"/>
      <c r="AJ76" s="51"/>
      <c r="AK76" s="14"/>
    </row>
    <row r="77" ht="15.75" customHeight="1">
      <c r="A77" s="50"/>
      <c r="B77" s="50"/>
      <c r="C77" s="76"/>
      <c r="D77" s="76"/>
      <c r="E77" s="76"/>
      <c r="F77" s="76"/>
      <c r="G77" s="76"/>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51"/>
      <c r="AI77" s="51"/>
      <c r="AJ77" s="51"/>
      <c r="AK77" s="14"/>
    </row>
    <row r="78" ht="15.75" customHeight="1">
      <c r="A78" s="50"/>
      <c r="B78" s="50"/>
      <c r="C78" s="76"/>
      <c r="D78" s="76"/>
      <c r="E78" s="76"/>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51"/>
      <c r="AI78" s="51"/>
      <c r="AJ78" s="51"/>
      <c r="AK78" s="14"/>
    </row>
    <row r="79" ht="15.75" customHeight="1">
      <c r="A79" s="50"/>
      <c r="B79" s="50"/>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51"/>
      <c r="AI79" s="51"/>
      <c r="AJ79" s="51"/>
      <c r="AK79" s="14"/>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AK1"/>
  </mergeCells>
  <conditionalFormatting sqref="C21:AG49">
    <cfRule type="expression" dxfId="5" priority="1">
      <formula>C$19&lt;&gt;1</formula>
    </cfRule>
  </conditionalFormatting>
  <conditionalFormatting sqref="C21:AG79">
    <cfRule type="expression" dxfId="0" priority="2">
      <formula>C21="C"</formula>
    </cfRule>
  </conditionalFormatting>
  <conditionalFormatting sqref="C21:AG79">
    <cfRule type="expression" dxfId="1" priority="3">
      <formula>C21="N"</formula>
    </cfRule>
  </conditionalFormatting>
  <conditionalFormatting sqref="C17:AG20">
    <cfRule type="expression" dxfId="6" priority="4">
      <formula>C$19=1</formula>
    </cfRule>
  </conditionalFormatting>
  <dataValidations>
    <dataValidation type="list" allowBlank="1" sqref="C21:AG79">
      <formula1>"C,N"</formula1>
    </dataValidation>
  </dataValidation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24.0"/>
    <col customWidth="1" min="3" max="33" width="5.0"/>
    <col customWidth="1" min="34" max="36" width="13.0"/>
    <col customWidth="1" min="37" max="37" width="42.0"/>
  </cols>
  <sheetData>
    <row r="1" ht="30.0" customHeight="1">
      <c r="A1" s="64" t="s">
        <v>269</v>
      </c>
    </row>
    <row r="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ht="18.0" customHeight="1">
      <c r="A3" s="67" t="s">
        <v>10</v>
      </c>
      <c r="B3" s="51" t="str">
        <f>IFERROR(DANH_MUC_LOP!$B$7,"")</f>
        <v>L09</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ht="18.0" customHeight="1">
      <c r="A4" s="67" t="s">
        <v>76</v>
      </c>
      <c r="B4" s="68">
        <f>IFERROR(DIEU_KHIEN!$B$4,"")</f>
        <v>46235</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row>
    <row r="5" ht="18.0" customHeight="1">
      <c r="A5" s="67" t="s">
        <v>19</v>
      </c>
      <c r="B5" s="51" t="str">
        <f>IFERROR(DANH_MUC_LOP!$C$7,"")</f>
        <v>Toán 9 Thầy Cường</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row>
    <row r="6" ht="18.0" customHeight="1">
      <c r="A6" s="67" t="s">
        <v>21</v>
      </c>
      <c r="B6" s="51">
        <f>IFERROR(DANH_MUC_LOP!$D$7,"")</f>
        <v>9</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row>
    <row r="7" ht="18.0" customHeight="1">
      <c r="A7" s="67" t="s">
        <v>22</v>
      </c>
      <c r="B7" s="51" t="str">
        <f>IFERROR(DANH_MUC_LOP!$E$7,"")</f>
        <v>Toán</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row>
    <row r="8" ht="18.0" customHeight="1">
      <c r="A8" s="67" t="s">
        <v>23</v>
      </c>
      <c r="B8" s="43">
        <f>IFERROR(DANH_MUC_LOP!$F$7,"")</f>
        <v>60000</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row>
    <row r="9" ht="18.0" customHeight="1">
      <c r="A9" s="67" t="s">
        <v>195</v>
      </c>
      <c r="B9" s="51" t="str">
        <f>IFERROR(DANH_MUC_LOP!$G$7,"")</f>
        <v>Có</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row>
    <row r="10" ht="18.0" customHeight="1">
      <c r="A10" s="67" t="s">
        <v>197</v>
      </c>
      <c r="B10" s="51" t="str">
        <f>IFERROR(DANH_MUC_LOP!$H$7,"")</f>
        <v>Không</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row>
    <row r="11" ht="18.0" customHeight="1">
      <c r="A11" s="67" t="s">
        <v>199</v>
      </c>
      <c r="B11" s="51" t="str">
        <f>IFERROR(DANH_MUC_LOP!$I$7,"")</f>
        <v>Không</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row>
    <row r="12" ht="18.0" customHeight="1">
      <c r="A12" s="67" t="s">
        <v>201</v>
      </c>
      <c r="B12" s="51" t="str">
        <f>IFERROR(DANH_MUC_LOP!$J$7,"")</f>
        <v>Có</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row>
    <row r="13" ht="18.0" customHeight="1">
      <c r="A13" s="67" t="s">
        <v>203</v>
      </c>
      <c r="B13" s="51" t="str">
        <f>IFERROR(DANH_MUC_LOP!$K$7,"")</f>
        <v>Không</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row>
    <row r="14" ht="18.0" customHeight="1">
      <c r="A14" s="67" t="s">
        <v>205</v>
      </c>
      <c r="B14" s="51" t="str">
        <f>IFERROR(DANH_MUC_LOP!$L$7,"")</f>
        <v>Không</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ht="18.0" customHeight="1">
      <c r="A15" s="67" t="s">
        <v>206</v>
      </c>
      <c r="B15" s="51" t="str">
        <f>IFERROR(DANH_MUC_LOP!$M$7,"")</f>
        <v>Không</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row>
    <row r="16" ht="18.0" customHeight="1">
      <c r="A16" s="67" t="s">
        <v>209</v>
      </c>
      <c r="B16" s="51">
        <f>IFERROR(IF(DANH_MUC_LOP!$R$7&gt;0,DANH_MUC_LOP!$R$7,SUM(C19:AG19)),SUM(C19:AG19))</f>
        <v>9</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row>
    <row r="17">
      <c r="A17" s="4" t="s">
        <v>212</v>
      </c>
      <c r="B17" s="4"/>
      <c r="C17" s="71">
        <v>1.0</v>
      </c>
      <c r="D17" s="71">
        <v>2.0</v>
      </c>
      <c r="E17" s="71">
        <v>3.0</v>
      </c>
      <c r="F17" s="71">
        <v>4.0</v>
      </c>
      <c r="G17" s="71">
        <v>5.0</v>
      </c>
      <c r="H17" s="71">
        <v>6.0</v>
      </c>
      <c r="I17" s="71">
        <v>7.0</v>
      </c>
      <c r="J17" s="71">
        <v>8.0</v>
      </c>
      <c r="K17" s="71">
        <v>9.0</v>
      </c>
      <c r="L17" s="71">
        <v>10.0</v>
      </c>
      <c r="M17" s="71">
        <v>11.0</v>
      </c>
      <c r="N17" s="71">
        <v>12.0</v>
      </c>
      <c r="O17" s="71">
        <v>13.0</v>
      </c>
      <c r="P17" s="71">
        <v>14.0</v>
      </c>
      <c r="Q17" s="71">
        <v>15.0</v>
      </c>
      <c r="R17" s="71">
        <v>16.0</v>
      </c>
      <c r="S17" s="71">
        <v>17.0</v>
      </c>
      <c r="T17" s="71">
        <v>18.0</v>
      </c>
      <c r="U17" s="71">
        <v>19.0</v>
      </c>
      <c r="V17" s="71">
        <v>20.0</v>
      </c>
      <c r="W17" s="71">
        <v>21.0</v>
      </c>
      <c r="X17" s="71">
        <v>22.0</v>
      </c>
      <c r="Y17" s="71">
        <v>23.0</v>
      </c>
      <c r="Z17" s="71">
        <v>24.0</v>
      </c>
      <c r="AA17" s="71">
        <v>25.0</v>
      </c>
      <c r="AB17" s="71">
        <v>26.0</v>
      </c>
      <c r="AC17" s="71">
        <v>27.0</v>
      </c>
      <c r="AD17" s="71">
        <v>28.0</v>
      </c>
      <c r="AE17" s="71">
        <v>29.0</v>
      </c>
      <c r="AF17" s="71">
        <v>30.0</v>
      </c>
      <c r="AG17" s="71">
        <v>31.0</v>
      </c>
      <c r="AH17" s="72"/>
      <c r="AI17" s="72"/>
      <c r="AJ17" s="72"/>
      <c r="AK17" s="72"/>
    </row>
    <row r="18">
      <c r="A18" s="4" t="s">
        <v>5</v>
      </c>
      <c r="B18" s="4"/>
      <c r="C18" s="74">
        <f t="shared" ref="C18:AG18" si="1">IFERROR(IF(MONTH(DATE(YEAR($B$4),MONTH($B$4),C$17))=MONTH($B$4),DATE(YEAR($B$4),MONTH($B$4),C$17),""),"")</f>
        <v>46235</v>
      </c>
      <c r="D18" s="74">
        <f t="shared" si="1"/>
        <v>46236</v>
      </c>
      <c r="E18" s="74">
        <f t="shared" si="1"/>
        <v>46237</v>
      </c>
      <c r="F18" s="74">
        <f t="shared" si="1"/>
        <v>46238</v>
      </c>
      <c r="G18" s="74">
        <f t="shared" si="1"/>
        <v>46239</v>
      </c>
      <c r="H18" s="74">
        <f t="shared" si="1"/>
        <v>46240</v>
      </c>
      <c r="I18" s="74">
        <f t="shared" si="1"/>
        <v>46241</v>
      </c>
      <c r="J18" s="74">
        <f t="shared" si="1"/>
        <v>46242</v>
      </c>
      <c r="K18" s="74">
        <f t="shared" si="1"/>
        <v>46243</v>
      </c>
      <c r="L18" s="74">
        <f t="shared" si="1"/>
        <v>46244</v>
      </c>
      <c r="M18" s="74">
        <f t="shared" si="1"/>
        <v>46245</v>
      </c>
      <c r="N18" s="74">
        <f t="shared" si="1"/>
        <v>46246</v>
      </c>
      <c r="O18" s="74">
        <f t="shared" si="1"/>
        <v>46247</v>
      </c>
      <c r="P18" s="74">
        <f t="shared" si="1"/>
        <v>46248</v>
      </c>
      <c r="Q18" s="74">
        <f t="shared" si="1"/>
        <v>46249</v>
      </c>
      <c r="R18" s="74">
        <f t="shared" si="1"/>
        <v>46250</v>
      </c>
      <c r="S18" s="74">
        <f t="shared" si="1"/>
        <v>46251</v>
      </c>
      <c r="T18" s="74">
        <f t="shared" si="1"/>
        <v>46252</v>
      </c>
      <c r="U18" s="74">
        <f t="shared" si="1"/>
        <v>46253</v>
      </c>
      <c r="V18" s="74">
        <f t="shared" si="1"/>
        <v>46254</v>
      </c>
      <c r="W18" s="74">
        <f t="shared" si="1"/>
        <v>46255</v>
      </c>
      <c r="X18" s="74">
        <f t="shared" si="1"/>
        <v>46256</v>
      </c>
      <c r="Y18" s="74">
        <f t="shared" si="1"/>
        <v>46257</v>
      </c>
      <c r="Z18" s="74">
        <f t="shared" si="1"/>
        <v>46258</v>
      </c>
      <c r="AA18" s="74">
        <f t="shared" si="1"/>
        <v>46259</v>
      </c>
      <c r="AB18" s="74">
        <f t="shared" si="1"/>
        <v>46260</v>
      </c>
      <c r="AC18" s="74">
        <f t="shared" si="1"/>
        <v>46261</v>
      </c>
      <c r="AD18" s="74">
        <f t="shared" si="1"/>
        <v>46262</v>
      </c>
      <c r="AE18" s="74">
        <f t="shared" si="1"/>
        <v>46263</v>
      </c>
      <c r="AF18" s="74">
        <f t="shared" si="1"/>
        <v>46264</v>
      </c>
      <c r="AG18" s="74">
        <f t="shared" si="1"/>
        <v>46265</v>
      </c>
      <c r="AH18" s="72"/>
      <c r="AI18" s="72"/>
      <c r="AJ18" s="72"/>
      <c r="AK18" s="72"/>
    </row>
    <row r="19">
      <c r="A19" s="4" t="s">
        <v>215</v>
      </c>
      <c r="B19" s="4"/>
      <c r="C19" s="71">
        <f t="shared" ref="C19:AG19" si="2">IFERROR(IF(C18="","",IF(CHOOSE(WEEKDAY(C18,2),$B$9,$B$10,$B$11,$B$12,$B$13,$B$14,$B$15)="Có",1,0)),"")</f>
        <v>0</v>
      </c>
      <c r="D19" s="71">
        <f t="shared" si="2"/>
        <v>0</v>
      </c>
      <c r="E19" s="71">
        <f t="shared" si="2"/>
        <v>1</v>
      </c>
      <c r="F19" s="71">
        <f t="shared" si="2"/>
        <v>0</v>
      </c>
      <c r="G19" s="71">
        <f t="shared" si="2"/>
        <v>0</v>
      </c>
      <c r="H19" s="71">
        <f t="shared" si="2"/>
        <v>1</v>
      </c>
      <c r="I19" s="71">
        <f t="shared" si="2"/>
        <v>0</v>
      </c>
      <c r="J19" s="71">
        <f t="shared" si="2"/>
        <v>0</v>
      </c>
      <c r="K19" s="71">
        <f t="shared" si="2"/>
        <v>0</v>
      </c>
      <c r="L19" s="71">
        <f t="shared" si="2"/>
        <v>1</v>
      </c>
      <c r="M19" s="71">
        <f t="shared" si="2"/>
        <v>0</v>
      </c>
      <c r="N19" s="71">
        <f t="shared" si="2"/>
        <v>0</v>
      </c>
      <c r="O19" s="71">
        <f t="shared" si="2"/>
        <v>1</v>
      </c>
      <c r="P19" s="71">
        <f t="shared" si="2"/>
        <v>0</v>
      </c>
      <c r="Q19" s="71">
        <f t="shared" si="2"/>
        <v>0</v>
      </c>
      <c r="R19" s="71">
        <f t="shared" si="2"/>
        <v>0</v>
      </c>
      <c r="S19" s="71">
        <f t="shared" si="2"/>
        <v>1</v>
      </c>
      <c r="T19" s="71">
        <f t="shared" si="2"/>
        <v>0</v>
      </c>
      <c r="U19" s="71">
        <f t="shared" si="2"/>
        <v>0</v>
      </c>
      <c r="V19" s="71">
        <f t="shared" si="2"/>
        <v>1</v>
      </c>
      <c r="W19" s="71">
        <f t="shared" si="2"/>
        <v>0</v>
      </c>
      <c r="X19" s="71">
        <f t="shared" si="2"/>
        <v>0</v>
      </c>
      <c r="Y19" s="71">
        <f t="shared" si="2"/>
        <v>0</v>
      </c>
      <c r="Z19" s="71">
        <f t="shared" si="2"/>
        <v>1</v>
      </c>
      <c r="AA19" s="71">
        <f t="shared" si="2"/>
        <v>0</v>
      </c>
      <c r="AB19" s="71">
        <f t="shared" si="2"/>
        <v>0</v>
      </c>
      <c r="AC19" s="71">
        <f t="shared" si="2"/>
        <v>1</v>
      </c>
      <c r="AD19" s="71">
        <f t="shared" si="2"/>
        <v>0</v>
      </c>
      <c r="AE19" s="71">
        <f t="shared" si="2"/>
        <v>0</v>
      </c>
      <c r="AF19" s="71">
        <f t="shared" si="2"/>
        <v>0</v>
      </c>
      <c r="AG19" s="71">
        <f t="shared" si="2"/>
        <v>1</v>
      </c>
      <c r="AH19" s="72"/>
      <c r="AI19" s="72"/>
      <c r="AJ19" s="72"/>
      <c r="AK19" s="72"/>
    </row>
    <row r="20" ht="27.75" customHeight="1">
      <c r="A20" s="5" t="s">
        <v>14</v>
      </c>
      <c r="B20" s="5" t="s">
        <v>16</v>
      </c>
      <c r="C20" s="5" t="s">
        <v>216</v>
      </c>
      <c r="D20" s="5" t="s">
        <v>217</v>
      </c>
      <c r="E20" s="5" t="s">
        <v>218</v>
      </c>
      <c r="F20" s="5" t="s">
        <v>219</v>
      </c>
      <c r="G20" s="5" t="s">
        <v>220</v>
      </c>
      <c r="H20" s="5" t="s">
        <v>221</v>
      </c>
      <c r="I20" s="5" t="s">
        <v>222</v>
      </c>
      <c r="J20" s="5" t="s">
        <v>223</v>
      </c>
      <c r="K20" s="5" t="s">
        <v>224</v>
      </c>
      <c r="L20" s="5" t="s">
        <v>225</v>
      </c>
      <c r="M20" s="5" t="s">
        <v>226</v>
      </c>
      <c r="N20" s="5" t="s">
        <v>227</v>
      </c>
      <c r="O20" s="5" t="s">
        <v>228</v>
      </c>
      <c r="P20" s="5" t="s">
        <v>229</v>
      </c>
      <c r="Q20" s="5" t="s">
        <v>230</v>
      </c>
      <c r="R20" s="5" t="s">
        <v>231</v>
      </c>
      <c r="S20" s="5" t="s">
        <v>232</v>
      </c>
      <c r="T20" s="5" t="s">
        <v>233</v>
      </c>
      <c r="U20" s="5" t="s">
        <v>234</v>
      </c>
      <c r="V20" s="5" t="s">
        <v>235</v>
      </c>
      <c r="W20" s="5" t="s">
        <v>236</v>
      </c>
      <c r="X20" s="5" t="s">
        <v>237</v>
      </c>
      <c r="Y20" s="5" t="s">
        <v>238</v>
      </c>
      <c r="Z20" s="5" t="s">
        <v>239</v>
      </c>
      <c r="AA20" s="5" t="s">
        <v>240</v>
      </c>
      <c r="AB20" s="5" t="s">
        <v>241</v>
      </c>
      <c r="AC20" s="5" t="s">
        <v>242</v>
      </c>
      <c r="AD20" s="5" t="s">
        <v>243</v>
      </c>
      <c r="AE20" s="5" t="s">
        <v>244</v>
      </c>
      <c r="AF20" s="5" t="s">
        <v>246</v>
      </c>
      <c r="AG20" s="5" t="s">
        <v>247</v>
      </c>
      <c r="AH20" s="5" t="s">
        <v>248</v>
      </c>
      <c r="AI20" s="5" t="s">
        <v>249</v>
      </c>
      <c r="AJ20" s="5" t="s">
        <v>250</v>
      </c>
      <c r="AK20" s="5" t="s">
        <v>15</v>
      </c>
    </row>
    <row r="21" ht="15.75" customHeight="1">
      <c r="A21" s="50" t="s">
        <v>341</v>
      </c>
      <c r="B21" s="50" t="s">
        <v>342</v>
      </c>
      <c r="C21" s="76"/>
      <c r="D21" s="76"/>
      <c r="E21" s="76" t="s">
        <v>253</v>
      </c>
      <c r="F21" s="76"/>
      <c r="G21" s="76"/>
      <c r="H21" s="76" t="s">
        <v>253</v>
      </c>
      <c r="I21" s="76"/>
      <c r="J21" s="76"/>
      <c r="K21" s="76"/>
      <c r="L21" s="76" t="s">
        <v>253</v>
      </c>
      <c r="M21" s="76"/>
      <c r="N21" s="76"/>
      <c r="O21" s="76" t="s">
        <v>253</v>
      </c>
      <c r="P21" s="76"/>
      <c r="Q21" s="76"/>
      <c r="R21" s="76"/>
      <c r="S21" s="76" t="s">
        <v>253</v>
      </c>
      <c r="T21" s="76"/>
      <c r="U21" s="76"/>
      <c r="V21" s="76"/>
      <c r="W21" s="76"/>
      <c r="X21" s="76"/>
      <c r="Y21" s="76"/>
      <c r="Z21" s="76"/>
      <c r="AA21" s="76"/>
      <c r="AB21" s="76"/>
      <c r="AC21" s="76"/>
      <c r="AD21" s="76"/>
      <c r="AE21" s="76"/>
      <c r="AF21" s="76"/>
      <c r="AG21" s="76"/>
      <c r="AH21" s="51">
        <f t="shared" ref="AH21:AH50" si="3">IF(A21="","",COUNTIF(C21:AG21,"C"))</f>
        <v>5</v>
      </c>
      <c r="AI21" s="51">
        <f t="shared" ref="AI21:AI50" si="4">IF(A21="","",COUNTIF(C21:AG21,"N")+COUNTIF(C21:AG21,"P"))</f>
        <v>0</v>
      </c>
      <c r="AJ21" s="51">
        <f t="shared" ref="AJ21:AJ50" si="5">IF(A21="","",MAX(0,$B$16-AH21-AI21))</f>
        <v>4</v>
      </c>
      <c r="AK21" s="78" t="s">
        <v>344</v>
      </c>
    </row>
    <row r="22" ht="15.75" customHeight="1">
      <c r="A22" s="50" t="s">
        <v>345</v>
      </c>
      <c r="B22" s="50" t="s">
        <v>346</v>
      </c>
      <c r="C22" s="76"/>
      <c r="D22" s="76"/>
      <c r="E22" s="76" t="s">
        <v>253</v>
      </c>
      <c r="F22" s="76"/>
      <c r="G22" s="76"/>
      <c r="H22" s="76" t="s">
        <v>253</v>
      </c>
      <c r="I22" s="76"/>
      <c r="J22" s="76"/>
      <c r="K22" s="76"/>
      <c r="L22" s="76" t="s">
        <v>254</v>
      </c>
      <c r="M22" s="76"/>
      <c r="N22" s="76"/>
      <c r="O22" s="76" t="s">
        <v>254</v>
      </c>
      <c r="P22" s="76"/>
      <c r="Q22" s="76"/>
      <c r="R22" s="76"/>
      <c r="S22" s="76" t="s">
        <v>254</v>
      </c>
      <c r="T22" s="76"/>
      <c r="U22" s="76"/>
      <c r="V22" s="76"/>
      <c r="W22" s="76"/>
      <c r="X22" s="76"/>
      <c r="Y22" s="76"/>
      <c r="Z22" s="76"/>
      <c r="AA22" s="76"/>
      <c r="AB22" s="76"/>
      <c r="AC22" s="76"/>
      <c r="AD22" s="76"/>
      <c r="AE22" s="76"/>
      <c r="AF22" s="76"/>
      <c r="AG22" s="76"/>
      <c r="AH22" s="51">
        <f t="shared" si="3"/>
        <v>2</v>
      </c>
      <c r="AI22" s="51">
        <f t="shared" si="4"/>
        <v>3</v>
      </c>
      <c r="AJ22" s="51">
        <f t="shared" si="5"/>
        <v>4</v>
      </c>
      <c r="AK22" s="78" t="s">
        <v>347</v>
      </c>
    </row>
    <row r="23" ht="15.75" customHeight="1">
      <c r="A23" s="50" t="s">
        <v>348</v>
      </c>
      <c r="B23" s="50" t="s">
        <v>349</v>
      </c>
      <c r="C23" s="76"/>
      <c r="D23" s="76"/>
      <c r="E23" s="76" t="s">
        <v>253</v>
      </c>
      <c r="F23" s="76"/>
      <c r="G23" s="76"/>
      <c r="H23" s="76" t="s">
        <v>254</v>
      </c>
      <c r="I23" s="76"/>
      <c r="J23" s="76"/>
      <c r="K23" s="76"/>
      <c r="L23" s="76" t="s">
        <v>253</v>
      </c>
      <c r="M23" s="76"/>
      <c r="N23" s="76"/>
      <c r="O23" s="76" t="s">
        <v>253</v>
      </c>
      <c r="P23" s="76"/>
      <c r="Q23" s="76"/>
      <c r="R23" s="76"/>
      <c r="S23" s="76" t="s">
        <v>253</v>
      </c>
      <c r="T23" s="76"/>
      <c r="U23" s="76"/>
      <c r="V23" s="76"/>
      <c r="W23" s="76"/>
      <c r="X23" s="76"/>
      <c r="Y23" s="76"/>
      <c r="Z23" s="76"/>
      <c r="AA23" s="76"/>
      <c r="AB23" s="76"/>
      <c r="AC23" s="76"/>
      <c r="AD23" s="76"/>
      <c r="AE23" s="76"/>
      <c r="AF23" s="76"/>
      <c r="AG23" s="76"/>
      <c r="AH23" s="51">
        <f t="shared" si="3"/>
        <v>4</v>
      </c>
      <c r="AI23" s="51">
        <f t="shared" si="4"/>
        <v>1</v>
      </c>
      <c r="AJ23" s="51">
        <f t="shared" si="5"/>
        <v>4</v>
      </c>
      <c r="AK23" s="78" t="s">
        <v>350</v>
      </c>
    </row>
    <row r="24" ht="15.75" customHeight="1">
      <c r="A24" s="50" t="s">
        <v>67</v>
      </c>
      <c r="B24" s="50" t="s">
        <v>68</v>
      </c>
      <c r="C24" s="76"/>
      <c r="D24" s="76"/>
      <c r="E24" s="76" t="s">
        <v>253</v>
      </c>
      <c r="F24" s="76"/>
      <c r="G24" s="76"/>
      <c r="H24" s="76" t="s">
        <v>253</v>
      </c>
      <c r="I24" s="76"/>
      <c r="J24" s="76"/>
      <c r="K24" s="76"/>
      <c r="L24" s="76" t="s">
        <v>253</v>
      </c>
      <c r="M24" s="76"/>
      <c r="N24" s="76"/>
      <c r="O24" s="76" t="s">
        <v>253</v>
      </c>
      <c r="P24" s="76"/>
      <c r="Q24" s="76"/>
      <c r="R24" s="76"/>
      <c r="S24" s="76" t="s">
        <v>253</v>
      </c>
      <c r="T24" s="76"/>
      <c r="U24" s="76"/>
      <c r="V24" s="76"/>
      <c r="W24" s="76"/>
      <c r="X24" s="76"/>
      <c r="Y24" s="76"/>
      <c r="Z24" s="76"/>
      <c r="AA24" s="76"/>
      <c r="AB24" s="76"/>
      <c r="AC24" s="76"/>
      <c r="AD24" s="76"/>
      <c r="AE24" s="76"/>
      <c r="AF24" s="76"/>
      <c r="AG24" s="76"/>
      <c r="AH24" s="51">
        <f t="shared" si="3"/>
        <v>5</v>
      </c>
      <c r="AI24" s="51">
        <f t="shared" si="4"/>
        <v>0</v>
      </c>
      <c r="AJ24" s="51">
        <f t="shared" si="5"/>
        <v>4</v>
      </c>
      <c r="AK24" s="78" t="s">
        <v>351</v>
      </c>
    </row>
    <row r="25" ht="15.75" customHeight="1">
      <c r="A25" s="50" t="s">
        <v>352</v>
      </c>
      <c r="B25" s="50" t="s">
        <v>258</v>
      </c>
      <c r="C25" s="76"/>
      <c r="D25" s="76"/>
      <c r="E25" s="76" t="s">
        <v>253</v>
      </c>
      <c r="F25" s="76"/>
      <c r="G25" s="76"/>
      <c r="H25" s="76" t="s">
        <v>253</v>
      </c>
      <c r="I25" s="76"/>
      <c r="J25" s="76"/>
      <c r="K25" s="76"/>
      <c r="L25" s="76" t="s">
        <v>253</v>
      </c>
      <c r="M25" s="76"/>
      <c r="N25" s="76"/>
      <c r="O25" s="76" t="s">
        <v>253</v>
      </c>
      <c r="P25" s="76"/>
      <c r="Q25" s="76"/>
      <c r="R25" s="76"/>
      <c r="S25" s="76" t="s">
        <v>253</v>
      </c>
      <c r="T25" s="76"/>
      <c r="U25" s="76"/>
      <c r="V25" s="76"/>
      <c r="W25" s="76"/>
      <c r="X25" s="76"/>
      <c r="Y25" s="76"/>
      <c r="Z25" s="76"/>
      <c r="AA25" s="76"/>
      <c r="AB25" s="76"/>
      <c r="AC25" s="76"/>
      <c r="AD25" s="76"/>
      <c r="AE25" s="76"/>
      <c r="AF25" s="76"/>
      <c r="AG25" s="76"/>
      <c r="AH25" s="51">
        <f t="shared" si="3"/>
        <v>5</v>
      </c>
      <c r="AI25" s="51">
        <f t="shared" si="4"/>
        <v>0</v>
      </c>
      <c r="AJ25" s="51">
        <f t="shared" si="5"/>
        <v>4</v>
      </c>
      <c r="AK25" s="78" t="s">
        <v>353</v>
      </c>
    </row>
    <row r="26" ht="15.75" customHeight="1">
      <c r="A26" s="50" t="s">
        <v>354</v>
      </c>
      <c r="B26" s="50" t="s">
        <v>355</v>
      </c>
      <c r="C26" s="76"/>
      <c r="D26" s="76"/>
      <c r="E26" s="76" t="s">
        <v>253</v>
      </c>
      <c r="F26" s="76"/>
      <c r="G26" s="76"/>
      <c r="H26" s="76" t="s">
        <v>253</v>
      </c>
      <c r="I26" s="76"/>
      <c r="J26" s="76"/>
      <c r="K26" s="76"/>
      <c r="L26" s="76" t="s">
        <v>253</v>
      </c>
      <c r="M26" s="76"/>
      <c r="N26" s="76"/>
      <c r="O26" s="76" t="s">
        <v>253</v>
      </c>
      <c r="P26" s="76"/>
      <c r="Q26" s="76"/>
      <c r="R26" s="76"/>
      <c r="S26" s="76" t="s">
        <v>253</v>
      </c>
      <c r="T26" s="76"/>
      <c r="U26" s="76"/>
      <c r="V26" s="76"/>
      <c r="W26" s="76"/>
      <c r="X26" s="76"/>
      <c r="Y26" s="76"/>
      <c r="Z26" s="76"/>
      <c r="AA26" s="76"/>
      <c r="AB26" s="76"/>
      <c r="AC26" s="76"/>
      <c r="AD26" s="76"/>
      <c r="AE26" s="76"/>
      <c r="AF26" s="76"/>
      <c r="AG26" s="76"/>
      <c r="AH26" s="51">
        <f t="shared" si="3"/>
        <v>5</v>
      </c>
      <c r="AI26" s="51">
        <f t="shared" si="4"/>
        <v>0</v>
      </c>
      <c r="AJ26" s="51">
        <f t="shared" si="5"/>
        <v>4</v>
      </c>
      <c r="AK26" s="78" t="s">
        <v>356</v>
      </c>
    </row>
    <row r="27" ht="15.75" customHeight="1">
      <c r="A27" s="50" t="s">
        <v>73</v>
      </c>
      <c r="B27" s="50" t="s">
        <v>74</v>
      </c>
      <c r="C27" s="76"/>
      <c r="D27" s="76"/>
      <c r="E27" s="76" t="s">
        <v>253</v>
      </c>
      <c r="F27" s="76"/>
      <c r="G27" s="76"/>
      <c r="H27" s="76" t="s">
        <v>253</v>
      </c>
      <c r="I27" s="76"/>
      <c r="J27" s="76"/>
      <c r="K27" s="76"/>
      <c r="L27" s="76" t="s">
        <v>253</v>
      </c>
      <c r="M27" s="76"/>
      <c r="N27" s="76"/>
      <c r="O27" s="76" t="s">
        <v>253</v>
      </c>
      <c r="P27" s="76"/>
      <c r="Q27" s="76"/>
      <c r="R27" s="76"/>
      <c r="S27" s="76" t="s">
        <v>253</v>
      </c>
      <c r="T27" s="76"/>
      <c r="U27" s="76"/>
      <c r="V27" s="76"/>
      <c r="W27" s="76"/>
      <c r="X27" s="76"/>
      <c r="Y27" s="76"/>
      <c r="Z27" s="76"/>
      <c r="AA27" s="76"/>
      <c r="AB27" s="76"/>
      <c r="AC27" s="76"/>
      <c r="AD27" s="76"/>
      <c r="AE27" s="76"/>
      <c r="AF27" s="76"/>
      <c r="AG27" s="76"/>
      <c r="AH27" s="51">
        <f t="shared" si="3"/>
        <v>5</v>
      </c>
      <c r="AI27" s="51">
        <f t="shared" si="4"/>
        <v>0</v>
      </c>
      <c r="AJ27" s="51">
        <f t="shared" si="5"/>
        <v>4</v>
      </c>
      <c r="AK27" s="78" t="s">
        <v>357</v>
      </c>
    </row>
    <row r="28" ht="15.75" customHeight="1">
      <c r="A28" s="50" t="s">
        <v>358</v>
      </c>
      <c r="B28" s="50" t="s">
        <v>359</v>
      </c>
      <c r="C28" s="76"/>
      <c r="D28" s="76"/>
      <c r="E28" s="76"/>
      <c r="F28" s="76"/>
      <c r="G28" s="76"/>
      <c r="H28" s="76" t="s">
        <v>254</v>
      </c>
      <c r="I28" s="76"/>
      <c r="J28" s="76"/>
      <c r="K28" s="76"/>
      <c r="L28" s="76" t="s">
        <v>254</v>
      </c>
      <c r="M28" s="76"/>
      <c r="N28" s="76"/>
      <c r="O28" s="76" t="s">
        <v>254</v>
      </c>
      <c r="P28" s="76"/>
      <c r="Q28" s="76"/>
      <c r="R28" s="76"/>
      <c r="S28" s="76" t="s">
        <v>254</v>
      </c>
      <c r="T28" s="76"/>
      <c r="U28" s="76"/>
      <c r="V28" s="76"/>
      <c r="W28" s="76"/>
      <c r="X28" s="76"/>
      <c r="Y28" s="76"/>
      <c r="Z28" s="76"/>
      <c r="AA28" s="76"/>
      <c r="AB28" s="76"/>
      <c r="AC28" s="76"/>
      <c r="AD28" s="76"/>
      <c r="AE28" s="76"/>
      <c r="AF28" s="76"/>
      <c r="AG28" s="76"/>
      <c r="AH28" s="51">
        <f t="shared" si="3"/>
        <v>0</v>
      </c>
      <c r="AI28" s="51">
        <f t="shared" si="4"/>
        <v>4</v>
      </c>
      <c r="AJ28" s="51">
        <f t="shared" si="5"/>
        <v>5</v>
      </c>
      <c r="AK28" s="78" t="s">
        <v>360</v>
      </c>
    </row>
    <row r="29" ht="15.75" customHeight="1">
      <c r="A29" s="50" t="s">
        <v>361</v>
      </c>
      <c r="B29" s="50" t="s">
        <v>362</v>
      </c>
      <c r="C29" s="76"/>
      <c r="D29" s="76"/>
      <c r="E29" s="76" t="s">
        <v>253</v>
      </c>
      <c r="F29" s="76"/>
      <c r="G29" s="76"/>
      <c r="H29" s="76" t="s">
        <v>253</v>
      </c>
      <c r="I29" s="76"/>
      <c r="J29" s="76"/>
      <c r="K29" s="76"/>
      <c r="L29" s="76" t="s">
        <v>253</v>
      </c>
      <c r="M29" s="76"/>
      <c r="N29" s="76"/>
      <c r="O29" s="76" t="s">
        <v>253</v>
      </c>
      <c r="P29" s="76"/>
      <c r="Q29" s="76"/>
      <c r="R29" s="76"/>
      <c r="S29" s="76" t="s">
        <v>253</v>
      </c>
      <c r="T29" s="76"/>
      <c r="U29" s="76"/>
      <c r="V29" s="76"/>
      <c r="W29" s="76"/>
      <c r="X29" s="76"/>
      <c r="Y29" s="76"/>
      <c r="Z29" s="76"/>
      <c r="AA29" s="76"/>
      <c r="AB29" s="76"/>
      <c r="AC29" s="76"/>
      <c r="AD29" s="76"/>
      <c r="AE29" s="76"/>
      <c r="AF29" s="76"/>
      <c r="AG29" s="76"/>
      <c r="AH29" s="51">
        <f t="shared" si="3"/>
        <v>5</v>
      </c>
      <c r="AI29" s="51">
        <f t="shared" si="4"/>
        <v>0</v>
      </c>
      <c r="AJ29" s="51">
        <f t="shared" si="5"/>
        <v>4</v>
      </c>
      <c r="AK29" s="78" t="s">
        <v>363</v>
      </c>
    </row>
    <row r="30" ht="15.75" customHeight="1">
      <c r="A30" s="50" t="s">
        <v>364</v>
      </c>
      <c r="B30" s="50" t="s">
        <v>365</v>
      </c>
      <c r="C30" s="76"/>
      <c r="D30" s="76"/>
      <c r="E30" s="76" t="s">
        <v>253</v>
      </c>
      <c r="F30" s="76"/>
      <c r="G30" s="76"/>
      <c r="H30" s="76" t="s">
        <v>253</v>
      </c>
      <c r="I30" s="76"/>
      <c r="J30" s="76"/>
      <c r="K30" s="76"/>
      <c r="L30" s="76" t="s">
        <v>253</v>
      </c>
      <c r="M30" s="76"/>
      <c r="N30" s="76"/>
      <c r="O30" s="76" t="s">
        <v>253</v>
      </c>
      <c r="P30" s="76"/>
      <c r="Q30" s="76"/>
      <c r="R30" s="76"/>
      <c r="S30" s="76" t="s">
        <v>253</v>
      </c>
      <c r="T30" s="76"/>
      <c r="U30" s="76"/>
      <c r="V30" s="76"/>
      <c r="W30" s="76"/>
      <c r="X30" s="76"/>
      <c r="Y30" s="76"/>
      <c r="Z30" s="76"/>
      <c r="AA30" s="76"/>
      <c r="AB30" s="76"/>
      <c r="AC30" s="76"/>
      <c r="AD30" s="76"/>
      <c r="AE30" s="76"/>
      <c r="AF30" s="76"/>
      <c r="AG30" s="76"/>
      <c r="AH30" s="51">
        <f t="shared" si="3"/>
        <v>5</v>
      </c>
      <c r="AI30" s="51">
        <f t="shared" si="4"/>
        <v>0</v>
      </c>
      <c r="AJ30" s="51">
        <f t="shared" si="5"/>
        <v>4</v>
      </c>
      <c r="AK30" s="78" t="s">
        <v>366</v>
      </c>
    </row>
    <row r="31" ht="15.75" customHeight="1">
      <c r="A31" s="50" t="s">
        <v>367</v>
      </c>
      <c r="B31" s="50" t="s">
        <v>368</v>
      </c>
      <c r="C31" s="76"/>
      <c r="D31" s="76"/>
      <c r="E31" s="76"/>
      <c r="F31" s="76"/>
      <c r="G31" s="76"/>
      <c r="H31" s="76" t="s">
        <v>254</v>
      </c>
      <c r="I31" s="76"/>
      <c r="J31" s="76"/>
      <c r="K31" s="76"/>
      <c r="L31" s="76" t="s">
        <v>254</v>
      </c>
      <c r="M31" s="76"/>
      <c r="N31" s="76"/>
      <c r="O31" s="76" t="s">
        <v>254</v>
      </c>
      <c r="P31" s="76"/>
      <c r="Q31" s="76"/>
      <c r="R31" s="76"/>
      <c r="S31" s="76" t="s">
        <v>254</v>
      </c>
      <c r="T31" s="76"/>
      <c r="U31" s="76"/>
      <c r="V31" s="76"/>
      <c r="W31" s="76"/>
      <c r="X31" s="76"/>
      <c r="Y31" s="76"/>
      <c r="Z31" s="76"/>
      <c r="AA31" s="76"/>
      <c r="AB31" s="76"/>
      <c r="AC31" s="76"/>
      <c r="AD31" s="76"/>
      <c r="AE31" s="76"/>
      <c r="AF31" s="76"/>
      <c r="AG31" s="76"/>
      <c r="AH31" s="51">
        <f t="shared" si="3"/>
        <v>0</v>
      </c>
      <c r="AI31" s="51">
        <f t="shared" si="4"/>
        <v>4</v>
      </c>
      <c r="AJ31" s="51">
        <f t="shared" si="5"/>
        <v>5</v>
      </c>
      <c r="AK31" s="78" t="s">
        <v>369</v>
      </c>
    </row>
    <row r="32" ht="15.75" customHeight="1">
      <c r="A32" s="50" t="s">
        <v>370</v>
      </c>
      <c r="B32" s="50" t="s">
        <v>371</v>
      </c>
      <c r="C32" s="76"/>
      <c r="D32" s="76"/>
      <c r="E32" s="76"/>
      <c r="F32" s="76"/>
      <c r="G32" s="76"/>
      <c r="H32" s="76" t="s">
        <v>253</v>
      </c>
      <c r="I32" s="76"/>
      <c r="J32" s="76"/>
      <c r="K32" s="76"/>
      <c r="L32" s="76"/>
      <c r="M32" s="76"/>
      <c r="N32" s="76"/>
      <c r="O32" s="76"/>
      <c r="P32" s="76"/>
      <c r="Q32" s="76"/>
      <c r="R32" s="76"/>
      <c r="S32" s="76" t="s">
        <v>254</v>
      </c>
      <c r="T32" s="76"/>
      <c r="U32" s="76"/>
      <c r="V32" s="76"/>
      <c r="W32" s="76"/>
      <c r="X32" s="76"/>
      <c r="Y32" s="76"/>
      <c r="Z32" s="76"/>
      <c r="AA32" s="76"/>
      <c r="AB32" s="76"/>
      <c r="AC32" s="76"/>
      <c r="AD32" s="76"/>
      <c r="AE32" s="76"/>
      <c r="AF32" s="76"/>
      <c r="AG32" s="76"/>
      <c r="AH32" s="51">
        <f t="shared" si="3"/>
        <v>1</v>
      </c>
      <c r="AI32" s="51">
        <f t="shared" si="4"/>
        <v>1</v>
      </c>
      <c r="AJ32" s="51">
        <f t="shared" si="5"/>
        <v>7</v>
      </c>
      <c r="AK32" s="78"/>
    </row>
    <row r="33" ht="15.75" customHeight="1">
      <c r="A33" s="50"/>
      <c r="B33" s="50"/>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c r="AF33" s="76"/>
      <c r="AG33" s="76"/>
      <c r="AH33" s="51" t="str">
        <f t="shared" si="3"/>
        <v/>
      </c>
      <c r="AI33" s="51" t="str">
        <f t="shared" si="4"/>
        <v/>
      </c>
      <c r="AJ33" s="51" t="str">
        <f t="shared" si="5"/>
        <v/>
      </c>
      <c r="AK33" s="78"/>
    </row>
    <row r="34" ht="15.75" customHeight="1">
      <c r="A34" s="50"/>
      <c r="B34" s="50"/>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c r="AF34" s="76"/>
      <c r="AG34" s="76"/>
      <c r="AH34" s="51" t="str">
        <f t="shared" si="3"/>
        <v/>
      </c>
      <c r="AI34" s="51" t="str">
        <f t="shared" si="4"/>
        <v/>
      </c>
      <c r="AJ34" s="51" t="str">
        <f t="shared" si="5"/>
        <v/>
      </c>
      <c r="AK34" s="78"/>
    </row>
    <row r="35" ht="15.75" customHeight="1">
      <c r="A35" s="50"/>
      <c r="B35" s="50"/>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6"/>
      <c r="AF35" s="76"/>
      <c r="AG35" s="76"/>
      <c r="AH35" s="51" t="str">
        <f t="shared" si="3"/>
        <v/>
      </c>
      <c r="AI35" s="51" t="str">
        <f t="shared" si="4"/>
        <v/>
      </c>
      <c r="AJ35" s="51" t="str">
        <f t="shared" si="5"/>
        <v/>
      </c>
      <c r="AK35" s="78"/>
    </row>
    <row r="36" ht="15.75" customHeight="1">
      <c r="A36" s="50"/>
      <c r="B36" s="50"/>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51" t="str">
        <f t="shared" si="3"/>
        <v/>
      </c>
      <c r="AI36" s="51" t="str">
        <f t="shared" si="4"/>
        <v/>
      </c>
      <c r="AJ36" s="51" t="str">
        <f t="shared" si="5"/>
        <v/>
      </c>
      <c r="AK36" s="78"/>
    </row>
    <row r="37" ht="15.75" customHeight="1">
      <c r="A37" s="50"/>
      <c r="B37" s="50"/>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51" t="str">
        <f t="shared" si="3"/>
        <v/>
      </c>
      <c r="AI37" s="51" t="str">
        <f t="shared" si="4"/>
        <v/>
      </c>
      <c r="AJ37" s="51" t="str">
        <f t="shared" si="5"/>
        <v/>
      </c>
      <c r="AK37" s="78"/>
    </row>
    <row r="38" ht="15.75" customHeight="1">
      <c r="A38" s="50"/>
      <c r="B38" s="50"/>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6"/>
      <c r="AC38" s="76"/>
      <c r="AD38" s="76"/>
      <c r="AE38" s="76"/>
      <c r="AF38" s="76"/>
      <c r="AG38" s="76"/>
      <c r="AH38" s="51" t="str">
        <f t="shared" si="3"/>
        <v/>
      </c>
      <c r="AI38" s="51" t="str">
        <f t="shared" si="4"/>
        <v/>
      </c>
      <c r="AJ38" s="51" t="str">
        <f t="shared" si="5"/>
        <v/>
      </c>
      <c r="AK38" s="78"/>
    </row>
    <row r="39" ht="15.75" customHeight="1">
      <c r="A39" s="50"/>
      <c r="B39" s="50"/>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51" t="str">
        <f t="shared" si="3"/>
        <v/>
      </c>
      <c r="AI39" s="51" t="str">
        <f t="shared" si="4"/>
        <v/>
      </c>
      <c r="AJ39" s="51" t="str">
        <f t="shared" si="5"/>
        <v/>
      </c>
      <c r="AK39" s="78"/>
    </row>
    <row r="40" ht="15.75" customHeight="1">
      <c r="A40" s="50"/>
      <c r="B40" s="50"/>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51" t="str">
        <f t="shared" si="3"/>
        <v/>
      </c>
      <c r="AI40" s="51" t="str">
        <f t="shared" si="4"/>
        <v/>
      </c>
      <c r="AJ40" s="51" t="str">
        <f t="shared" si="5"/>
        <v/>
      </c>
      <c r="AK40" s="78"/>
    </row>
    <row r="41" ht="15.75" customHeight="1">
      <c r="A41" s="50"/>
      <c r="B41" s="50"/>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c r="AF41" s="76"/>
      <c r="AG41" s="76"/>
      <c r="AH41" s="51" t="str">
        <f t="shared" si="3"/>
        <v/>
      </c>
      <c r="AI41" s="51" t="str">
        <f t="shared" si="4"/>
        <v/>
      </c>
      <c r="AJ41" s="51" t="str">
        <f t="shared" si="5"/>
        <v/>
      </c>
      <c r="AK41" s="78"/>
    </row>
    <row r="42" ht="15.75" customHeight="1">
      <c r="A42" s="50"/>
      <c r="B42" s="50"/>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51" t="str">
        <f t="shared" si="3"/>
        <v/>
      </c>
      <c r="AI42" s="51" t="str">
        <f t="shared" si="4"/>
        <v/>
      </c>
      <c r="AJ42" s="51" t="str">
        <f t="shared" si="5"/>
        <v/>
      </c>
      <c r="AK42" s="78"/>
    </row>
    <row r="43" ht="15.75" customHeight="1">
      <c r="A43" s="50"/>
      <c r="B43" s="50"/>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51" t="str">
        <f t="shared" si="3"/>
        <v/>
      </c>
      <c r="AI43" s="51" t="str">
        <f t="shared" si="4"/>
        <v/>
      </c>
      <c r="AJ43" s="51" t="str">
        <f t="shared" si="5"/>
        <v/>
      </c>
      <c r="AK43" s="78"/>
    </row>
    <row r="44" ht="15.75" customHeight="1">
      <c r="A44" s="50"/>
      <c r="B44" s="50"/>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51" t="str">
        <f t="shared" si="3"/>
        <v/>
      </c>
      <c r="AI44" s="51" t="str">
        <f t="shared" si="4"/>
        <v/>
      </c>
      <c r="AJ44" s="51" t="str">
        <f t="shared" si="5"/>
        <v/>
      </c>
      <c r="AK44" s="78"/>
    </row>
    <row r="45" ht="15.75" customHeight="1">
      <c r="A45" s="50"/>
      <c r="B45" s="50"/>
      <c r="C45" s="76"/>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51" t="str">
        <f t="shared" si="3"/>
        <v/>
      </c>
      <c r="AI45" s="51" t="str">
        <f t="shared" si="4"/>
        <v/>
      </c>
      <c r="AJ45" s="51" t="str">
        <f t="shared" si="5"/>
        <v/>
      </c>
      <c r="AK45" s="78"/>
    </row>
    <row r="46" ht="15.75" customHeight="1">
      <c r="A46" s="50"/>
      <c r="B46" s="50"/>
      <c r="C46" s="76"/>
      <c r="D46" s="76"/>
      <c r="E46" s="76"/>
      <c r="F46" s="76"/>
      <c r="G46" s="76"/>
      <c r="H46" s="76"/>
      <c r="I46" s="76"/>
      <c r="J46" s="76"/>
      <c r="K46" s="76"/>
      <c r="L46" s="76"/>
      <c r="M46" s="76"/>
      <c r="N46" s="76"/>
      <c r="O46" s="76"/>
      <c r="P46" s="76"/>
      <c r="Q46" s="76"/>
      <c r="R46" s="76"/>
      <c r="S46" s="76"/>
      <c r="T46" s="76"/>
      <c r="U46" s="76"/>
      <c r="V46" s="76"/>
      <c r="W46" s="76"/>
      <c r="X46" s="76"/>
      <c r="Y46" s="76"/>
      <c r="Z46" s="76"/>
      <c r="AA46" s="76"/>
      <c r="AB46" s="76"/>
      <c r="AC46" s="76"/>
      <c r="AD46" s="76"/>
      <c r="AE46" s="76"/>
      <c r="AF46" s="76"/>
      <c r="AG46" s="76"/>
      <c r="AH46" s="51" t="str">
        <f t="shared" si="3"/>
        <v/>
      </c>
      <c r="AI46" s="51" t="str">
        <f t="shared" si="4"/>
        <v/>
      </c>
      <c r="AJ46" s="51" t="str">
        <f t="shared" si="5"/>
        <v/>
      </c>
      <c r="AK46" s="78"/>
    </row>
    <row r="47" ht="15.75" customHeight="1">
      <c r="A47" s="50"/>
      <c r="B47" s="50"/>
      <c r="C47" s="76"/>
      <c r="D47" s="76"/>
      <c r="E47" s="76"/>
      <c r="F47" s="76"/>
      <c r="G47" s="76"/>
      <c r="H47" s="76"/>
      <c r="I47" s="76"/>
      <c r="J47" s="76"/>
      <c r="K47" s="76"/>
      <c r="L47" s="76"/>
      <c r="M47" s="76"/>
      <c r="N47" s="76"/>
      <c r="O47" s="76"/>
      <c r="P47" s="76"/>
      <c r="Q47" s="76"/>
      <c r="R47" s="76"/>
      <c r="S47" s="76"/>
      <c r="T47" s="76"/>
      <c r="U47" s="76"/>
      <c r="V47" s="76"/>
      <c r="W47" s="76"/>
      <c r="X47" s="76"/>
      <c r="Y47" s="76"/>
      <c r="Z47" s="76"/>
      <c r="AA47" s="76"/>
      <c r="AB47" s="76"/>
      <c r="AC47" s="76"/>
      <c r="AD47" s="76"/>
      <c r="AE47" s="76"/>
      <c r="AF47" s="76"/>
      <c r="AG47" s="76"/>
      <c r="AH47" s="51" t="str">
        <f t="shared" si="3"/>
        <v/>
      </c>
      <c r="AI47" s="51" t="str">
        <f t="shared" si="4"/>
        <v/>
      </c>
      <c r="AJ47" s="51" t="str">
        <f t="shared" si="5"/>
        <v/>
      </c>
      <c r="AK47" s="78"/>
    </row>
    <row r="48" ht="15.75" customHeight="1">
      <c r="A48" s="50"/>
      <c r="B48" s="50"/>
      <c r="C48" s="76"/>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51" t="str">
        <f t="shared" si="3"/>
        <v/>
      </c>
      <c r="AI48" s="51" t="str">
        <f t="shared" si="4"/>
        <v/>
      </c>
      <c r="AJ48" s="51" t="str">
        <f t="shared" si="5"/>
        <v/>
      </c>
      <c r="AK48" s="78"/>
    </row>
    <row r="49" ht="15.75" customHeight="1">
      <c r="A49" s="50"/>
      <c r="B49" s="50"/>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51" t="str">
        <f t="shared" si="3"/>
        <v/>
      </c>
      <c r="AI49" s="51" t="str">
        <f t="shared" si="4"/>
        <v/>
      </c>
      <c r="AJ49" s="51" t="str">
        <f t="shared" si="5"/>
        <v/>
      </c>
      <c r="AK49" s="78"/>
    </row>
    <row r="50" ht="15.75" customHeight="1">
      <c r="A50" s="50"/>
      <c r="B50" s="50"/>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51" t="str">
        <f t="shared" si="3"/>
        <v/>
      </c>
      <c r="AI50" s="51" t="str">
        <f t="shared" si="4"/>
        <v/>
      </c>
      <c r="AJ50" s="51" t="str">
        <f t="shared" si="5"/>
        <v/>
      </c>
      <c r="AK50" s="78"/>
    </row>
    <row r="51" ht="15.75" customHeight="1">
      <c r="A51" s="50"/>
      <c r="B51" s="50"/>
      <c r="C51" s="76"/>
      <c r="D51" s="76"/>
      <c r="E51" s="76"/>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51"/>
      <c r="AI51" s="51"/>
      <c r="AJ51" s="51"/>
      <c r="AK51" s="14"/>
    </row>
    <row r="52" ht="15.75" customHeight="1">
      <c r="A52" s="50"/>
      <c r="B52" s="50"/>
      <c r="C52" s="76"/>
      <c r="D52" s="76"/>
      <c r="E52" s="76"/>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51"/>
      <c r="AI52" s="51"/>
      <c r="AJ52" s="51"/>
      <c r="AK52" s="14"/>
    </row>
    <row r="53" ht="15.75" customHeight="1">
      <c r="A53" s="50"/>
      <c r="B53" s="50"/>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51"/>
      <c r="AI53" s="51"/>
      <c r="AJ53" s="51"/>
      <c r="AK53" s="14"/>
    </row>
    <row r="54" ht="15.75" customHeight="1">
      <c r="A54" s="50"/>
      <c r="B54" s="50"/>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51"/>
      <c r="AI54" s="51"/>
      <c r="AJ54" s="51"/>
      <c r="AK54" s="14"/>
    </row>
    <row r="55" ht="15.75" customHeight="1">
      <c r="A55" s="50"/>
      <c r="B55" s="50"/>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51"/>
      <c r="AI55" s="51"/>
      <c r="AJ55" s="51"/>
      <c r="AK55" s="14"/>
    </row>
    <row r="56" ht="15.75" customHeight="1">
      <c r="A56" s="50"/>
      <c r="B56" s="50"/>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51"/>
      <c r="AI56" s="51"/>
      <c r="AJ56" s="51"/>
      <c r="AK56" s="14"/>
    </row>
    <row r="57" ht="15.75" customHeight="1">
      <c r="A57" s="50"/>
      <c r="B57" s="50"/>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51"/>
      <c r="AI57" s="51"/>
      <c r="AJ57" s="51"/>
      <c r="AK57" s="14"/>
    </row>
    <row r="58" ht="15.75" customHeight="1">
      <c r="A58" s="50"/>
      <c r="B58" s="50"/>
      <c r="C58" s="76"/>
      <c r="D58" s="76"/>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51"/>
      <c r="AI58" s="51"/>
      <c r="AJ58" s="51"/>
      <c r="AK58" s="14"/>
    </row>
    <row r="59" ht="15.75" customHeight="1">
      <c r="A59" s="50"/>
      <c r="B59" s="50"/>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51"/>
      <c r="AI59" s="51"/>
      <c r="AJ59" s="51"/>
      <c r="AK59" s="14"/>
    </row>
    <row r="60" ht="15.75" customHeight="1">
      <c r="A60" s="50"/>
      <c r="B60" s="50"/>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51"/>
      <c r="AI60" s="51"/>
      <c r="AJ60" s="51"/>
      <c r="AK60" s="14"/>
    </row>
    <row r="61" ht="15.75" customHeight="1">
      <c r="A61" s="50"/>
      <c r="B61" s="50"/>
      <c r="C61" s="76"/>
      <c r="D61" s="76"/>
      <c r="E61" s="76"/>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51"/>
      <c r="AI61" s="51"/>
      <c r="AJ61" s="51"/>
      <c r="AK61" s="14"/>
    </row>
    <row r="62" ht="15.75" customHeight="1">
      <c r="A62" s="50"/>
      <c r="B62" s="50"/>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51"/>
      <c r="AI62" s="51"/>
      <c r="AJ62" s="51"/>
      <c r="AK62" s="14"/>
    </row>
    <row r="63" ht="15.75" customHeight="1">
      <c r="A63" s="50"/>
      <c r="B63" s="50"/>
      <c r="C63" s="76"/>
      <c r="D63" s="76"/>
      <c r="E63" s="76"/>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51"/>
      <c r="AI63" s="51"/>
      <c r="AJ63" s="51"/>
      <c r="AK63" s="14"/>
    </row>
    <row r="64" ht="15.75" customHeight="1">
      <c r="A64" s="50"/>
      <c r="B64" s="50"/>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51"/>
      <c r="AI64" s="51"/>
      <c r="AJ64" s="51"/>
      <c r="AK64" s="14"/>
    </row>
    <row r="65" ht="15.75" customHeight="1">
      <c r="A65" s="50"/>
      <c r="B65" s="50"/>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51"/>
      <c r="AI65" s="51"/>
      <c r="AJ65" s="51"/>
      <c r="AK65" s="14"/>
    </row>
    <row r="66" ht="15.75" customHeight="1">
      <c r="A66" s="50"/>
      <c r="B66" s="50"/>
      <c r="C66" s="76"/>
      <c r="D66" s="76"/>
      <c r="E66" s="76"/>
      <c r="F66" s="76"/>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51"/>
      <c r="AI66" s="51"/>
      <c r="AJ66" s="51"/>
      <c r="AK66" s="14"/>
    </row>
    <row r="67" ht="15.75" customHeight="1">
      <c r="A67" s="50"/>
      <c r="B67" s="50"/>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51"/>
      <c r="AI67" s="51"/>
      <c r="AJ67" s="51"/>
      <c r="AK67" s="14"/>
    </row>
    <row r="68" ht="15.75" customHeight="1">
      <c r="A68" s="50"/>
      <c r="B68" s="50"/>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51"/>
      <c r="AI68" s="51"/>
      <c r="AJ68" s="51"/>
      <c r="AK68" s="14"/>
    </row>
    <row r="69" ht="15.75" customHeight="1">
      <c r="A69" s="50"/>
      <c r="B69" s="50"/>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51"/>
      <c r="AI69" s="51"/>
      <c r="AJ69" s="51"/>
      <c r="AK69" s="14"/>
    </row>
    <row r="70" ht="15.75" customHeight="1">
      <c r="A70" s="50"/>
      <c r="B70" s="50"/>
      <c r="C70" s="76"/>
      <c r="D70" s="76"/>
      <c r="E70" s="76"/>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51"/>
      <c r="AI70" s="51"/>
      <c r="AJ70" s="51"/>
      <c r="AK70" s="14"/>
    </row>
    <row r="71" ht="15.75" customHeight="1">
      <c r="A71" s="50"/>
      <c r="B71" s="50"/>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51"/>
      <c r="AI71" s="51"/>
      <c r="AJ71" s="51"/>
      <c r="AK71" s="14"/>
    </row>
    <row r="72" ht="15.75" customHeight="1">
      <c r="A72" s="50"/>
      <c r="B72" s="50"/>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51"/>
      <c r="AI72" s="51"/>
      <c r="AJ72" s="51"/>
      <c r="AK72" s="14"/>
    </row>
    <row r="73" ht="15.75" customHeight="1">
      <c r="A73" s="50"/>
      <c r="B73" s="50"/>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51"/>
      <c r="AI73" s="51"/>
      <c r="AJ73" s="51"/>
      <c r="AK73" s="14"/>
    </row>
    <row r="74" ht="15.75" customHeight="1">
      <c r="A74" s="50"/>
      <c r="B74" s="50"/>
      <c r="C74" s="76"/>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51"/>
      <c r="AI74" s="51"/>
      <c r="AJ74" s="51"/>
      <c r="AK74" s="14"/>
    </row>
    <row r="75" ht="15.75" customHeight="1">
      <c r="A75" s="50"/>
      <c r="B75" s="50"/>
      <c r="C75" s="76"/>
      <c r="D75" s="76"/>
      <c r="E75" s="76"/>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51"/>
      <c r="AI75" s="51"/>
      <c r="AJ75" s="51"/>
      <c r="AK75" s="14"/>
    </row>
    <row r="76" ht="15.75" customHeight="1">
      <c r="A76" s="50"/>
      <c r="B76" s="50"/>
      <c r="C76" s="76"/>
      <c r="D76" s="76"/>
      <c r="E76" s="76"/>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51"/>
      <c r="AI76" s="51"/>
      <c r="AJ76" s="51"/>
      <c r="AK76" s="14"/>
    </row>
    <row r="77" ht="15.75" customHeight="1">
      <c r="A77" s="50"/>
      <c r="B77" s="50"/>
      <c r="C77" s="76"/>
      <c r="D77" s="76"/>
      <c r="E77" s="76"/>
      <c r="F77" s="76"/>
      <c r="G77" s="76"/>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51"/>
      <c r="AI77" s="51"/>
      <c r="AJ77" s="51"/>
      <c r="AK77" s="14"/>
    </row>
    <row r="78" ht="15.75" customHeight="1">
      <c r="A78" s="50"/>
      <c r="B78" s="50"/>
      <c r="C78" s="76"/>
      <c r="D78" s="76"/>
      <c r="E78" s="76"/>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51"/>
      <c r="AI78" s="51"/>
      <c r="AJ78" s="51"/>
      <c r="AK78" s="14"/>
    </row>
    <row r="79" ht="15.75" customHeight="1">
      <c r="A79" s="50"/>
      <c r="B79" s="50"/>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51"/>
      <c r="AI79" s="51"/>
      <c r="AJ79" s="51"/>
      <c r="AK79" s="14"/>
    </row>
    <row r="80" ht="15.75" customHeight="1">
      <c r="A80" s="50"/>
      <c r="B80" s="50"/>
      <c r="C80" s="76"/>
      <c r="D80" s="76"/>
      <c r="E80" s="76"/>
      <c r="F80" s="76"/>
      <c r="G80" s="76"/>
      <c r="H80" s="76"/>
      <c r="I80" s="76"/>
      <c r="J80" s="76"/>
      <c r="K80" s="76"/>
      <c r="L80" s="76"/>
      <c r="M80" s="76"/>
      <c r="N80" s="76"/>
      <c r="O80" s="76"/>
      <c r="P80" s="76"/>
      <c r="Q80" s="76"/>
      <c r="R80" s="76"/>
      <c r="S80" s="76"/>
      <c r="T80" s="76"/>
      <c r="U80" s="76"/>
      <c r="V80" s="76"/>
      <c r="W80" s="76"/>
      <c r="X80" s="76"/>
      <c r="Y80" s="76"/>
      <c r="Z80" s="76"/>
      <c r="AA80" s="76"/>
      <c r="AB80" s="76"/>
      <c r="AC80" s="76"/>
      <c r="AD80" s="76"/>
      <c r="AE80" s="76"/>
      <c r="AF80" s="76"/>
      <c r="AG80" s="76"/>
      <c r="AH80" s="51"/>
      <c r="AI80" s="51"/>
      <c r="AJ80" s="51"/>
      <c r="AK80" s="14"/>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K1"/>
  </mergeCells>
  <conditionalFormatting sqref="C21:AG50">
    <cfRule type="expression" dxfId="5" priority="1">
      <formula>C$19&lt;&gt;1</formula>
    </cfRule>
  </conditionalFormatting>
  <conditionalFormatting sqref="C21:AG80">
    <cfRule type="expression" dxfId="0" priority="2">
      <formula>C21="C"</formula>
    </cfRule>
  </conditionalFormatting>
  <conditionalFormatting sqref="C21:AG80">
    <cfRule type="expression" dxfId="1" priority="3">
      <formula>C21="N"</formula>
    </cfRule>
  </conditionalFormatting>
  <conditionalFormatting sqref="C17:AG20">
    <cfRule type="expression" dxfId="6" priority="4">
      <formula>C$19=1</formula>
    </cfRule>
  </conditionalFormatting>
  <dataValidations>
    <dataValidation type="list" allowBlank="1" sqref="C21:AG80">
      <formula1>"C,N"</formula1>
    </dataValidation>
  </dataValidations>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24.0"/>
    <col customWidth="1" min="3" max="33" width="5.0"/>
    <col customWidth="1" min="34" max="36" width="13.0"/>
    <col customWidth="1" min="37" max="37" width="42.0"/>
  </cols>
  <sheetData>
    <row r="1" ht="30.0" customHeight="1">
      <c r="A1" s="64" t="s">
        <v>372</v>
      </c>
    </row>
    <row r="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ht="18.0" customHeight="1">
      <c r="A3" s="67" t="s">
        <v>10</v>
      </c>
      <c r="B3" s="51" t="str">
        <f>IFERROR(DANH_MUC_LOP!$B$8,"")</f>
        <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ht="18.0" customHeight="1">
      <c r="A4" s="67" t="s">
        <v>76</v>
      </c>
      <c r="B4" s="68">
        <f>IFERROR(DIEU_KHIEN!$B$4,"")</f>
        <v>46235</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row>
    <row r="5" ht="18.0" customHeight="1">
      <c r="A5" s="67" t="s">
        <v>19</v>
      </c>
      <c r="B5" s="51" t="str">
        <f>IFERROR(DANH_MUC_LOP!$C$8,"")</f>
        <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row>
    <row r="6" ht="18.0" customHeight="1">
      <c r="A6" s="67" t="s">
        <v>21</v>
      </c>
      <c r="B6" s="51" t="str">
        <f>IFERROR(DANH_MUC_LOP!$D$8,"")</f>
        <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row>
    <row r="7" ht="18.0" customHeight="1">
      <c r="A7" s="67" t="s">
        <v>22</v>
      </c>
      <c r="B7" s="51" t="str">
        <f>IFERROR(DANH_MUC_LOP!$E$8,"")</f>
        <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row>
    <row r="8" ht="18.0" customHeight="1">
      <c r="A8" s="67" t="s">
        <v>23</v>
      </c>
      <c r="B8" s="43" t="str">
        <f>IFERROR(DANH_MUC_LOP!$F$8,"")</f>
        <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row>
    <row r="9" ht="18.0" customHeight="1">
      <c r="A9" s="67" t="s">
        <v>195</v>
      </c>
      <c r="B9" s="51" t="str">
        <f>IFERROR(DANH_MUC_LOP!$G$8,"")</f>
        <v>Không</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row>
    <row r="10" ht="18.0" customHeight="1">
      <c r="A10" s="67" t="s">
        <v>197</v>
      </c>
      <c r="B10" s="51" t="str">
        <f>IFERROR(DANH_MUC_LOP!$H$8,"")</f>
        <v>Không</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row>
    <row r="11" ht="18.0" customHeight="1">
      <c r="A11" s="67" t="s">
        <v>199</v>
      </c>
      <c r="B11" s="51" t="str">
        <f>IFERROR(DANH_MUC_LOP!$I$8,"")</f>
        <v>Không</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row>
    <row r="12" ht="18.0" customHeight="1">
      <c r="A12" s="67" t="s">
        <v>201</v>
      </c>
      <c r="B12" s="51" t="str">
        <f>IFERROR(DANH_MUC_LOP!$J$8,"")</f>
        <v>Không</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row>
    <row r="13" ht="18.0" customHeight="1">
      <c r="A13" s="67" t="s">
        <v>203</v>
      </c>
      <c r="B13" s="51" t="str">
        <f>IFERROR(DANH_MUC_LOP!$K$8,"")</f>
        <v>Không</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row>
    <row r="14" ht="18.0" customHeight="1">
      <c r="A14" s="67" t="s">
        <v>205</v>
      </c>
      <c r="B14" s="51" t="str">
        <f>IFERROR(DANH_MUC_LOP!$L$8,"")</f>
        <v>Không</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ht="18.0" customHeight="1">
      <c r="A15" s="67" t="s">
        <v>206</v>
      </c>
      <c r="B15" s="51" t="str">
        <f>IFERROR(DANH_MUC_LOP!$M$8,"")</f>
        <v>Không</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row>
    <row r="16" ht="18.0" customHeight="1">
      <c r="A16" s="67" t="s">
        <v>209</v>
      </c>
      <c r="B16" s="51" t="str">
        <f>IFERROR(IF(DANH_MUC_LOP!$R$8&gt;0,DANH_MUC_LOP!$R$8,SUM(C19:AG19)),SUM(C19:AG19))</f>
        <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row>
    <row r="17">
      <c r="A17" s="4" t="s">
        <v>212</v>
      </c>
      <c r="B17" s="4"/>
      <c r="C17" s="71">
        <v>1.0</v>
      </c>
      <c r="D17" s="71">
        <v>2.0</v>
      </c>
      <c r="E17" s="71">
        <v>3.0</v>
      </c>
      <c r="F17" s="71">
        <v>4.0</v>
      </c>
      <c r="G17" s="71">
        <v>5.0</v>
      </c>
      <c r="H17" s="71">
        <v>6.0</v>
      </c>
      <c r="I17" s="71">
        <v>7.0</v>
      </c>
      <c r="J17" s="71">
        <v>8.0</v>
      </c>
      <c r="K17" s="71">
        <v>9.0</v>
      </c>
      <c r="L17" s="71">
        <v>10.0</v>
      </c>
      <c r="M17" s="71">
        <v>11.0</v>
      </c>
      <c r="N17" s="71">
        <v>12.0</v>
      </c>
      <c r="O17" s="71">
        <v>13.0</v>
      </c>
      <c r="P17" s="71">
        <v>14.0</v>
      </c>
      <c r="Q17" s="71">
        <v>15.0</v>
      </c>
      <c r="R17" s="71">
        <v>16.0</v>
      </c>
      <c r="S17" s="71">
        <v>17.0</v>
      </c>
      <c r="T17" s="71">
        <v>18.0</v>
      </c>
      <c r="U17" s="71">
        <v>19.0</v>
      </c>
      <c r="V17" s="71">
        <v>20.0</v>
      </c>
      <c r="W17" s="71">
        <v>21.0</v>
      </c>
      <c r="X17" s="71">
        <v>22.0</v>
      </c>
      <c r="Y17" s="71">
        <v>23.0</v>
      </c>
      <c r="Z17" s="71">
        <v>24.0</v>
      </c>
      <c r="AA17" s="71">
        <v>25.0</v>
      </c>
      <c r="AB17" s="71">
        <v>26.0</v>
      </c>
      <c r="AC17" s="71">
        <v>27.0</v>
      </c>
      <c r="AD17" s="71">
        <v>28.0</v>
      </c>
      <c r="AE17" s="71">
        <v>29.0</v>
      </c>
      <c r="AF17" s="71">
        <v>30.0</v>
      </c>
      <c r="AG17" s="71">
        <v>31.0</v>
      </c>
      <c r="AH17" s="72"/>
      <c r="AI17" s="72"/>
      <c r="AJ17" s="72"/>
      <c r="AK17" s="72"/>
    </row>
    <row r="18">
      <c r="A18" s="4" t="s">
        <v>5</v>
      </c>
      <c r="B18" s="4"/>
      <c r="C18" s="74">
        <f t="shared" ref="C18:AG18" si="1">IFERROR(IF(MONTH(DATE(YEAR($B$4),MONTH($B$4),C$17))=MONTH($B$4),DATE(YEAR($B$4),MONTH($B$4),C$17),""),"")</f>
        <v>46235</v>
      </c>
      <c r="D18" s="74">
        <f t="shared" si="1"/>
        <v>46236</v>
      </c>
      <c r="E18" s="74">
        <f t="shared" si="1"/>
        <v>46237</v>
      </c>
      <c r="F18" s="74">
        <f t="shared" si="1"/>
        <v>46238</v>
      </c>
      <c r="G18" s="74">
        <f t="shared" si="1"/>
        <v>46239</v>
      </c>
      <c r="H18" s="74">
        <f t="shared" si="1"/>
        <v>46240</v>
      </c>
      <c r="I18" s="74">
        <f t="shared" si="1"/>
        <v>46241</v>
      </c>
      <c r="J18" s="74">
        <f t="shared" si="1"/>
        <v>46242</v>
      </c>
      <c r="K18" s="74">
        <f t="shared" si="1"/>
        <v>46243</v>
      </c>
      <c r="L18" s="74">
        <f t="shared" si="1"/>
        <v>46244</v>
      </c>
      <c r="M18" s="74">
        <f t="shared" si="1"/>
        <v>46245</v>
      </c>
      <c r="N18" s="74">
        <f t="shared" si="1"/>
        <v>46246</v>
      </c>
      <c r="O18" s="74">
        <f t="shared" si="1"/>
        <v>46247</v>
      </c>
      <c r="P18" s="74">
        <f t="shared" si="1"/>
        <v>46248</v>
      </c>
      <c r="Q18" s="74">
        <f t="shared" si="1"/>
        <v>46249</v>
      </c>
      <c r="R18" s="74">
        <f t="shared" si="1"/>
        <v>46250</v>
      </c>
      <c r="S18" s="74">
        <f t="shared" si="1"/>
        <v>46251</v>
      </c>
      <c r="T18" s="74">
        <f t="shared" si="1"/>
        <v>46252</v>
      </c>
      <c r="U18" s="74">
        <f t="shared" si="1"/>
        <v>46253</v>
      </c>
      <c r="V18" s="74">
        <f t="shared" si="1"/>
        <v>46254</v>
      </c>
      <c r="W18" s="74">
        <f t="shared" si="1"/>
        <v>46255</v>
      </c>
      <c r="X18" s="74">
        <f t="shared" si="1"/>
        <v>46256</v>
      </c>
      <c r="Y18" s="74">
        <f t="shared" si="1"/>
        <v>46257</v>
      </c>
      <c r="Z18" s="74">
        <f t="shared" si="1"/>
        <v>46258</v>
      </c>
      <c r="AA18" s="74">
        <f t="shared" si="1"/>
        <v>46259</v>
      </c>
      <c r="AB18" s="74">
        <f t="shared" si="1"/>
        <v>46260</v>
      </c>
      <c r="AC18" s="74">
        <f t="shared" si="1"/>
        <v>46261</v>
      </c>
      <c r="AD18" s="74">
        <f t="shared" si="1"/>
        <v>46262</v>
      </c>
      <c r="AE18" s="74">
        <f t="shared" si="1"/>
        <v>46263</v>
      </c>
      <c r="AF18" s="74">
        <f t="shared" si="1"/>
        <v>46264</v>
      </c>
      <c r="AG18" s="74">
        <f t="shared" si="1"/>
        <v>46265</v>
      </c>
      <c r="AH18" s="72"/>
      <c r="AI18" s="72"/>
      <c r="AJ18" s="72"/>
      <c r="AK18" s="72"/>
    </row>
    <row r="19">
      <c r="A19" s="4" t="s">
        <v>215</v>
      </c>
      <c r="B19" s="4"/>
      <c r="C19" s="71">
        <f t="shared" ref="C19:AG19" si="2">IFERROR(IF(C18="","",IF(CHOOSE(WEEKDAY(C18,2),$B$9,$B$10,$B$11,$B$12,$B$13,$B$14,$B$15)="Có",1,0)),"")</f>
        <v>0</v>
      </c>
      <c r="D19" s="71">
        <f t="shared" si="2"/>
        <v>0</v>
      </c>
      <c r="E19" s="71">
        <f t="shared" si="2"/>
        <v>0</v>
      </c>
      <c r="F19" s="71">
        <f t="shared" si="2"/>
        <v>0</v>
      </c>
      <c r="G19" s="71">
        <f t="shared" si="2"/>
        <v>0</v>
      </c>
      <c r="H19" s="71">
        <f t="shared" si="2"/>
        <v>0</v>
      </c>
      <c r="I19" s="71">
        <f t="shared" si="2"/>
        <v>0</v>
      </c>
      <c r="J19" s="71">
        <f t="shared" si="2"/>
        <v>0</v>
      </c>
      <c r="K19" s="71">
        <f t="shared" si="2"/>
        <v>0</v>
      </c>
      <c r="L19" s="71">
        <f t="shared" si="2"/>
        <v>0</v>
      </c>
      <c r="M19" s="71">
        <f t="shared" si="2"/>
        <v>0</v>
      </c>
      <c r="N19" s="71">
        <f t="shared" si="2"/>
        <v>0</v>
      </c>
      <c r="O19" s="71">
        <f t="shared" si="2"/>
        <v>0</v>
      </c>
      <c r="P19" s="71">
        <f t="shared" si="2"/>
        <v>0</v>
      </c>
      <c r="Q19" s="71">
        <f t="shared" si="2"/>
        <v>0</v>
      </c>
      <c r="R19" s="71">
        <f t="shared" si="2"/>
        <v>0</v>
      </c>
      <c r="S19" s="71">
        <f t="shared" si="2"/>
        <v>0</v>
      </c>
      <c r="T19" s="71">
        <f t="shared" si="2"/>
        <v>0</v>
      </c>
      <c r="U19" s="71">
        <f t="shared" si="2"/>
        <v>0</v>
      </c>
      <c r="V19" s="71">
        <f t="shared" si="2"/>
        <v>0</v>
      </c>
      <c r="W19" s="71">
        <f t="shared" si="2"/>
        <v>0</v>
      </c>
      <c r="X19" s="71">
        <f t="shared" si="2"/>
        <v>0</v>
      </c>
      <c r="Y19" s="71">
        <f t="shared" si="2"/>
        <v>0</v>
      </c>
      <c r="Z19" s="71">
        <f t="shared" si="2"/>
        <v>0</v>
      </c>
      <c r="AA19" s="71">
        <f t="shared" si="2"/>
        <v>0</v>
      </c>
      <c r="AB19" s="71">
        <f t="shared" si="2"/>
        <v>0</v>
      </c>
      <c r="AC19" s="71">
        <f t="shared" si="2"/>
        <v>0</v>
      </c>
      <c r="AD19" s="71">
        <f t="shared" si="2"/>
        <v>0</v>
      </c>
      <c r="AE19" s="71">
        <f t="shared" si="2"/>
        <v>0</v>
      </c>
      <c r="AF19" s="71">
        <f t="shared" si="2"/>
        <v>0</v>
      </c>
      <c r="AG19" s="71">
        <f t="shared" si="2"/>
        <v>0</v>
      </c>
      <c r="AH19" s="72"/>
      <c r="AI19" s="72"/>
      <c r="AJ19" s="72"/>
      <c r="AK19" s="72"/>
    </row>
    <row r="20" ht="27.75" customHeight="1">
      <c r="A20" s="5" t="s">
        <v>14</v>
      </c>
      <c r="B20" s="5" t="s">
        <v>16</v>
      </c>
      <c r="C20" s="5" t="s">
        <v>216</v>
      </c>
      <c r="D20" s="5" t="s">
        <v>217</v>
      </c>
      <c r="E20" s="5" t="s">
        <v>218</v>
      </c>
      <c r="F20" s="5" t="s">
        <v>219</v>
      </c>
      <c r="G20" s="5" t="s">
        <v>220</v>
      </c>
      <c r="H20" s="5" t="s">
        <v>221</v>
      </c>
      <c r="I20" s="5" t="s">
        <v>222</v>
      </c>
      <c r="J20" s="5" t="s">
        <v>223</v>
      </c>
      <c r="K20" s="5" t="s">
        <v>224</v>
      </c>
      <c r="L20" s="5" t="s">
        <v>225</v>
      </c>
      <c r="M20" s="5" t="s">
        <v>226</v>
      </c>
      <c r="N20" s="5" t="s">
        <v>227</v>
      </c>
      <c r="O20" s="5" t="s">
        <v>228</v>
      </c>
      <c r="P20" s="5" t="s">
        <v>229</v>
      </c>
      <c r="Q20" s="5" t="s">
        <v>230</v>
      </c>
      <c r="R20" s="5" t="s">
        <v>231</v>
      </c>
      <c r="S20" s="5" t="s">
        <v>232</v>
      </c>
      <c r="T20" s="5" t="s">
        <v>233</v>
      </c>
      <c r="U20" s="5" t="s">
        <v>234</v>
      </c>
      <c r="V20" s="5" t="s">
        <v>235</v>
      </c>
      <c r="W20" s="5" t="s">
        <v>236</v>
      </c>
      <c r="X20" s="5" t="s">
        <v>237</v>
      </c>
      <c r="Y20" s="5" t="s">
        <v>238</v>
      </c>
      <c r="Z20" s="5" t="s">
        <v>239</v>
      </c>
      <c r="AA20" s="5" t="s">
        <v>240</v>
      </c>
      <c r="AB20" s="5" t="s">
        <v>241</v>
      </c>
      <c r="AC20" s="5" t="s">
        <v>242</v>
      </c>
      <c r="AD20" s="5" t="s">
        <v>243</v>
      </c>
      <c r="AE20" s="5" t="s">
        <v>244</v>
      </c>
      <c r="AF20" s="5" t="s">
        <v>246</v>
      </c>
      <c r="AG20" s="5" t="s">
        <v>247</v>
      </c>
      <c r="AH20" s="5" t="s">
        <v>248</v>
      </c>
      <c r="AI20" s="5" t="s">
        <v>249</v>
      </c>
      <c r="AJ20" s="5" t="s">
        <v>250</v>
      </c>
      <c r="AK20" s="5" t="s">
        <v>15</v>
      </c>
    </row>
    <row r="21" ht="15.75" customHeight="1">
      <c r="A21" s="50"/>
      <c r="B21" s="50"/>
      <c r="C21" s="76"/>
      <c r="D21" s="76"/>
      <c r="E21" s="76"/>
      <c r="F21" s="76"/>
      <c r="G21" s="76"/>
      <c r="H21" s="76"/>
      <c r="I21" s="7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51" t="str">
        <f t="shared" ref="AH21:AH50" si="3">IF(A21="","",COUNTIF(C21:AG21,"C"))</f>
        <v/>
      </c>
      <c r="AI21" s="51" t="str">
        <f t="shared" ref="AI21:AI50" si="4">IF(A21="","",COUNTIF(C21:AG21,"N")+COUNTIF(C21:AG21,"P"))</f>
        <v/>
      </c>
      <c r="AJ21" s="51" t="str">
        <f t="shared" ref="AJ21:AJ50" si="5">IF(A21="","",MAX(0,$B$16-AH21-AI21))</f>
        <v/>
      </c>
      <c r="AK21" s="78"/>
    </row>
    <row r="22" ht="15.75" customHeight="1">
      <c r="A22" s="50"/>
      <c r="B22" s="50"/>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6"/>
      <c r="AD22" s="76"/>
      <c r="AE22" s="76"/>
      <c r="AF22" s="76"/>
      <c r="AG22" s="76"/>
      <c r="AH22" s="51" t="str">
        <f t="shared" si="3"/>
        <v/>
      </c>
      <c r="AI22" s="51" t="str">
        <f t="shared" si="4"/>
        <v/>
      </c>
      <c r="AJ22" s="51" t="str">
        <f t="shared" si="5"/>
        <v/>
      </c>
      <c r="AK22" s="78"/>
    </row>
    <row r="23" ht="15.75" customHeight="1">
      <c r="A23" s="50"/>
      <c r="B23" s="50"/>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6"/>
      <c r="AD23" s="76"/>
      <c r="AE23" s="76"/>
      <c r="AF23" s="76"/>
      <c r="AG23" s="76"/>
      <c r="AH23" s="51" t="str">
        <f t="shared" si="3"/>
        <v/>
      </c>
      <c r="AI23" s="51" t="str">
        <f t="shared" si="4"/>
        <v/>
      </c>
      <c r="AJ23" s="51" t="str">
        <f t="shared" si="5"/>
        <v/>
      </c>
      <c r="AK23" s="78"/>
    </row>
    <row r="24" ht="15.75" customHeight="1">
      <c r="A24" s="50"/>
      <c r="B24" s="50"/>
      <c r="C24" s="76"/>
      <c r="D24" s="76"/>
      <c r="E24" s="76"/>
      <c r="F24" s="76"/>
      <c r="G24" s="76"/>
      <c r="H24" s="76"/>
      <c r="I24" s="76"/>
      <c r="J24" s="76"/>
      <c r="K24" s="76"/>
      <c r="L24" s="76"/>
      <c r="M24" s="76"/>
      <c r="N24" s="76"/>
      <c r="O24" s="76"/>
      <c r="P24" s="76"/>
      <c r="Q24" s="76"/>
      <c r="R24" s="76"/>
      <c r="S24" s="76"/>
      <c r="T24" s="76"/>
      <c r="U24" s="76"/>
      <c r="V24" s="76"/>
      <c r="W24" s="76"/>
      <c r="X24" s="76"/>
      <c r="Y24" s="76"/>
      <c r="Z24" s="76"/>
      <c r="AA24" s="76"/>
      <c r="AB24" s="76"/>
      <c r="AC24" s="76"/>
      <c r="AD24" s="76"/>
      <c r="AE24" s="76"/>
      <c r="AF24" s="76"/>
      <c r="AG24" s="76"/>
      <c r="AH24" s="51" t="str">
        <f t="shared" si="3"/>
        <v/>
      </c>
      <c r="AI24" s="51" t="str">
        <f t="shared" si="4"/>
        <v/>
      </c>
      <c r="AJ24" s="51" t="str">
        <f t="shared" si="5"/>
        <v/>
      </c>
      <c r="AK24" s="78"/>
    </row>
    <row r="25" ht="15.75" customHeight="1">
      <c r="A25" s="50"/>
      <c r="B25" s="50"/>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c r="AF25" s="76"/>
      <c r="AG25" s="76"/>
      <c r="AH25" s="51" t="str">
        <f t="shared" si="3"/>
        <v/>
      </c>
      <c r="AI25" s="51" t="str">
        <f t="shared" si="4"/>
        <v/>
      </c>
      <c r="AJ25" s="51" t="str">
        <f t="shared" si="5"/>
        <v/>
      </c>
      <c r="AK25" s="78"/>
    </row>
    <row r="26" ht="15.75" customHeight="1">
      <c r="A26" s="50"/>
      <c r="B26" s="50"/>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51" t="str">
        <f t="shared" si="3"/>
        <v/>
      </c>
      <c r="AI26" s="51" t="str">
        <f t="shared" si="4"/>
        <v/>
      </c>
      <c r="AJ26" s="51" t="str">
        <f t="shared" si="5"/>
        <v/>
      </c>
      <c r="AK26" s="78"/>
    </row>
    <row r="27" ht="15.75" customHeight="1">
      <c r="A27" s="50"/>
      <c r="B27" s="50"/>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51" t="str">
        <f t="shared" si="3"/>
        <v/>
      </c>
      <c r="AI27" s="51" t="str">
        <f t="shared" si="4"/>
        <v/>
      </c>
      <c r="AJ27" s="51" t="str">
        <f t="shared" si="5"/>
        <v/>
      </c>
      <c r="AK27" s="78"/>
    </row>
    <row r="28" ht="15.75" customHeight="1">
      <c r="A28" s="50"/>
      <c r="B28" s="50"/>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51" t="str">
        <f t="shared" si="3"/>
        <v/>
      </c>
      <c r="AI28" s="51" t="str">
        <f t="shared" si="4"/>
        <v/>
      </c>
      <c r="AJ28" s="51" t="str">
        <f t="shared" si="5"/>
        <v/>
      </c>
      <c r="AK28" s="78"/>
    </row>
    <row r="29" ht="15.75" customHeight="1">
      <c r="A29" s="50"/>
      <c r="B29" s="50"/>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c r="AF29" s="76"/>
      <c r="AG29" s="76"/>
      <c r="AH29" s="51" t="str">
        <f t="shared" si="3"/>
        <v/>
      </c>
      <c r="AI29" s="51" t="str">
        <f t="shared" si="4"/>
        <v/>
      </c>
      <c r="AJ29" s="51" t="str">
        <f t="shared" si="5"/>
        <v/>
      </c>
      <c r="AK29" s="78"/>
    </row>
    <row r="30" ht="15.75" customHeight="1">
      <c r="A30" s="50"/>
      <c r="B30" s="50"/>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6"/>
      <c r="AD30" s="76"/>
      <c r="AE30" s="76"/>
      <c r="AF30" s="76"/>
      <c r="AG30" s="76"/>
      <c r="AH30" s="51" t="str">
        <f t="shared" si="3"/>
        <v/>
      </c>
      <c r="AI30" s="51" t="str">
        <f t="shared" si="4"/>
        <v/>
      </c>
      <c r="AJ30" s="51" t="str">
        <f t="shared" si="5"/>
        <v/>
      </c>
      <c r="AK30" s="78"/>
    </row>
    <row r="31" ht="15.75" customHeight="1">
      <c r="A31" s="50"/>
      <c r="B31" s="50"/>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c r="AF31" s="76"/>
      <c r="AG31" s="76"/>
      <c r="AH31" s="51" t="str">
        <f t="shared" si="3"/>
        <v/>
      </c>
      <c r="AI31" s="51" t="str">
        <f t="shared" si="4"/>
        <v/>
      </c>
      <c r="AJ31" s="51" t="str">
        <f t="shared" si="5"/>
        <v/>
      </c>
      <c r="AK31" s="78"/>
    </row>
    <row r="32" ht="15.75" customHeight="1">
      <c r="A32" s="50"/>
      <c r="B32" s="50"/>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51" t="str">
        <f t="shared" si="3"/>
        <v/>
      </c>
      <c r="AI32" s="51" t="str">
        <f t="shared" si="4"/>
        <v/>
      </c>
      <c r="AJ32" s="51" t="str">
        <f t="shared" si="5"/>
        <v/>
      </c>
      <c r="AK32" s="78"/>
    </row>
    <row r="33" ht="15.75" customHeight="1">
      <c r="A33" s="50"/>
      <c r="B33" s="50"/>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c r="AF33" s="76"/>
      <c r="AG33" s="76"/>
      <c r="AH33" s="51" t="str">
        <f t="shared" si="3"/>
        <v/>
      </c>
      <c r="AI33" s="51" t="str">
        <f t="shared" si="4"/>
        <v/>
      </c>
      <c r="AJ33" s="51" t="str">
        <f t="shared" si="5"/>
        <v/>
      </c>
      <c r="AK33" s="78"/>
    </row>
    <row r="34" ht="15.75" customHeight="1">
      <c r="A34" s="50"/>
      <c r="B34" s="50"/>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c r="AF34" s="76"/>
      <c r="AG34" s="76"/>
      <c r="AH34" s="51" t="str">
        <f t="shared" si="3"/>
        <v/>
      </c>
      <c r="AI34" s="51" t="str">
        <f t="shared" si="4"/>
        <v/>
      </c>
      <c r="AJ34" s="51" t="str">
        <f t="shared" si="5"/>
        <v/>
      </c>
      <c r="AK34" s="78"/>
    </row>
    <row r="35" ht="15.75" customHeight="1">
      <c r="A35" s="50"/>
      <c r="B35" s="50"/>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6"/>
      <c r="AF35" s="76"/>
      <c r="AG35" s="76"/>
      <c r="AH35" s="51" t="str">
        <f t="shared" si="3"/>
        <v/>
      </c>
      <c r="AI35" s="51" t="str">
        <f t="shared" si="4"/>
        <v/>
      </c>
      <c r="AJ35" s="51" t="str">
        <f t="shared" si="5"/>
        <v/>
      </c>
      <c r="AK35" s="78"/>
    </row>
    <row r="36" ht="15.75" customHeight="1">
      <c r="A36" s="50"/>
      <c r="B36" s="50"/>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51" t="str">
        <f t="shared" si="3"/>
        <v/>
      </c>
      <c r="AI36" s="51" t="str">
        <f t="shared" si="4"/>
        <v/>
      </c>
      <c r="AJ36" s="51" t="str">
        <f t="shared" si="5"/>
        <v/>
      </c>
      <c r="AK36" s="78"/>
    </row>
    <row r="37" ht="15.75" customHeight="1">
      <c r="A37" s="50"/>
      <c r="B37" s="50"/>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51" t="str">
        <f t="shared" si="3"/>
        <v/>
      </c>
      <c r="AI37" s="51" t="str">
        <f t="shared" si="4"/>
        <v/>
      </c>
      <c r="AJ37" s="51" t="str">
        <f t="shared" si="5"/>
        <v/>
      </c>
      <c r="AK37" s="78"/>
    </row>
    <row r="38" ht="15.75" customHeight="1">
      <c r="A38" s="50"/>
      <c r="B38" s="50"/>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6"/>
      <c r="AC38" s="76"/>
      <c r="AD38" s="76"/>
      <c r="AE38" s="76"/>
      <c r="AF38" s="76"/>
      <c r="AG38" s="76"/>
      <c r="AH38" s="51" t="str">
        <f t="shared" si="3"/>
        <v/>
      </c>
      <c r="AI38" s="51" t="str">
        <f t="shared" si="4"/>
        <v/>
      </c>
      <c r="AJ38" s="51" t="str">
        <f t="shared" si="5"/>
        <v/>
      </c>
      <c r="AK38" s="78"/>
    </row>
    <row r="39" ht="15.75" customHeight="1">
      <c r="A39" s="50"/>
      <c r="B39" s="50"/>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51" t="str">
        <f t="shared" si="3"/>
        <v/>
      </c>
      <c r="AI39" s="51" t="str">
        <f t="shared" si="4"/>
        <v/>
      </c>
      <c r="AJ39" s="51" t="str">
        <f t="shared" si="5"/>
        <v/>
      </c>
      <c r="AK39" s="78"/>
    </row>
    <row r="40" ht="15.75" customHeight="1">
      <c r="A40" s="50"/>
      <c r="B40" s="50"/>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51" t="str">
        <f t="shared" si="3"/>
        <v/>
      </c>
      <c r="AI40" s="51" t="str">
        <f t="shared" si="4"/>
        <v/>
      </c>
      <c r="AJ40" s="51" t="str">
        <f t="shared" si="5"/>
        <v/>
      </c>
      <c r="AK40" s="78"/>
    </row>
    <row r="41" ht="15.75" customHeight="1">
      <c r="A41" s="50"/>
      <c r="B41" s="50"/>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c r="AF41" s="76"/>
      <c r="AG41" s="76"/>
      <c r="AH41" s="51" t="str">
        <f t="shared" si="3"/>
        <v/>
      </c>
      <c r="AI41" s="51" t="str">
        <f t="shared" si="4"/>
        <v/>
      </c>
      <c r="AJ41" s="51" t="str">
        <f t="shared" si="5"/>
        <v/>
      </c>
      <c r="AK41" s="78"/>
    </row>
    <row r="42" ht="15.75" customHeight="1">
      <c r="A42" s="50"/>
      <c r="B42" s="50"/>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51" t="str">
        <f t="shared" si="3"/>
        <v/>
      </c>
      <c r="AI42" s="51" t="str">
        <f t="shared" si="4"/>
        <v/>
      </c>
      <c r="AJ42" s="51" t="str">
        <f t="shared" si="5"/>
        <v/>
      </c>
      <c r="AK42" s="78"/>
    </row>
    <row r="43" ht="15.75" customHeight="1">
      <c r="A43" s="50"/>
      <c r="B43" s="50"/>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51" t="str">
        <f t="shared" si="3"/>
        <v/>
      </c>
      <c r="AI43" s="51" t="str">
        <f t="shared" si="4"/>
        <v/>
      </c>
      <c r="AJ43" s="51" t="str">
        <f t="shared" si="5"/>
        <v/>
      </c>
      <c r="AK43" s="78"/>
    </row>
    <row r="44" ht="15.75" customHeight="1">
      <c r="A44" s="50"/>
      <c r="B44" s="50"/>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51" t="str">
        <f t="shared" si="3"/>
        <v/>
      </c>
      <c r="AI44" s="51" t="str">
        <f t="shared" si="4"/>
        <v/>
      </c>
      <c r="AJ44" s="51" t="str">
        <f t="shared" si="5"/>
        <v/>
      </c>
      <c r="AK44" s="78"/>
    </row>
    <row r="45" ht="15.75" customHeight="1">
      <c r="A45" s="50"/>
      <c r="B45" s="50"/>
      <c r="C45" s="76"/>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51" t="str">
        <f t="shared" si="3"/>
        <v/>
      </c>
      <c r="AI45" s="51" t="str">
        <f t="shared" si="4"/>
        <v/>
      </c>
      <c r="AJ45" s="51" t="str">
        <f t="shared" si="5"/>
        <v/>
      </c>
      <c r="AK45" s="78"/>
    </row>
    <row r="46" ht="15.75" customHeight="1">
      <c r="A46" s="50"/>
      <c r="B46" s="50"/>
      <c r="C46" s="76"/>
      <c r="D46" s="76"/>
      <c r="E46" s="76"/>
      <c r="F46" s="76"/>
      <c r="G46" s="76"/>
      <c r="H46" s="76"/>
      <c r="I46" s="76"/>
      <c r="J46" s="76"/>
      <c r="K46" s="76"/>
      <c r="L46" s="76"/>
      <c r="M46" s="76"/>
      <c r="N46" s="76"/>
      <c r="O46" s="76"/>
      <c r="P46" s="76"/>
      <c r="Q46" s="76"/>
      <c r="R46" s="76"/>
      <c r="S46" s="76"/>
      <c r="T46" s="76"/>
      <c r="U46" s="76"/>
      <c r="V46" s="76"/>
      <c r="W46" s="76"/>
      <c r="X46" s="76"/>
      <c r="Y46" s="76"/>
      <c r="Z46" s="76"/>
      <c r="AA46" s="76"/>
      <c r="AB46" s="76"/>
      <c r="AC46" s="76"/>
      <c r="AD46" s="76"/>
      <c r="AE46" s="76"/>
      <c r="AF46" s="76"/>
      <c r="AG46" s="76"/>
      <c r="AH46" s="51" t="str">
        <f t="shared" si="3"/>
        <v/>
      </c>
      <c r="AI46" s="51" t="str">
        <f t="shared" si="4"/>
        <v/>
      </c>
      <c r="AJ46" s="51" t="str">
        <f t="shared" si="5"/>
        <v/>
      </c>
      <c r="AK46" s="78"/>
    </row>
    <row r="47" ht="15.75" customHeight="1">
      <c r="A47" s="50"/>
      <c r="B47" s="50"/>
      <c r="C47" s="76"/>
      <c r="D47" s="76"/>
      <c r="E47" s="76"/>
      <c r="F47" s="76"/>
      <c r="G47" s="76"/>
      <c r="H47" s="76"/>
      <c r="I47" s="76"/>
      <c r="J47" s="76"/>
      <c r="K47" s="76"/>
      <c r="L47" s="76"/>
      <c r="M47" s="76"/>
      <c r="N47" s="76"/>
      <c r="O47" s="76"/>
      <c r="P47" s="76"/>
      <c r="Q47" s="76"/>
      <c r="R47" s="76"/>
      <c r="S47" s="76"/>
      <c r="T47" s="76"/>
      <c r="U47" s="76"/>
      <c r="V47" s="76"/>
      <c r="W47" s="76"/>
      <c r="X47" s="76"/>
      <c r="Y47" s="76"/>
      <c r="Z47" s="76"/>
      <c r="AA47" s="76"/>
      <c r="AB47" s="76"/>
      <c r="AC47" s="76"/>
      <c r="AD47" s="76"/>
      <c r="AE47" s="76"/>
      <c r="AF47" s="76"/>
      <c r="AG47" s="76"/>
      <c r="AH47" s="51" t="str">
        <f t="shared" si="3"/>
        <v/>
      </c>
      <c r="AI47" s="51" t="str">
        <f t="shared" si="4"/>
        <v/>
      </c>
      <c r="AJ47" s="51" t="str">
        <f t="shared" si="5"/>
        <v/>
      </c>
      <c r="AK47" s="78"/>
    </row>
    <row r="48" ht="15.75" customHeight="1">
      <c r="A48" s="50"/>
      <c r="B48" s="50"/>
      <c r="C48" s="76"/>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51" t="str">
        <f t="shared" si="3"/>
        <v/>
      </c>
      <c r="AI48" s="51" t="str">
        <f t="shared" si="4"/>
        <v/>
      </c>
      <c r="AJ48" s="51" t="str">
        <f t="shared" si="5"/>
        <v/>
      </c>
      <c r="AK48" s="78"/>
    </row>
    <row r="49" ht="15.75" customHeight="1">
      <c r="A49" s="50"/>
      <c r="B49" s="50"/>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51" t="str">
        <f t="shared" si="3"/>
        <v/>
      </c>
      <c r="AI49" s="51" t="str">
        <f t="shared" si="4"/>
        <v/>
      </c>
      <c r="AJ49" s="51" t="str">
        <f t="shared" si="5"/>
        <v/>
      </c>
      <c r="AK49" s="78"/>
    </row>
    <row r="50" ht="15.75" customHeight="1">
      <c r="A50" s="50"/>
      <c r="B50" s="50"/>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51" t="str">
        <f t="shared" si="3"/>
        <v/>
      </c>
      <c r="AI50" s="51" t="str">
        <f t="shared" si="4"/>
        <v/>
      </c>
      <c r="AJ50" s="51" t="str">
        <f t="shared" si="5"/>
        <v/>
      </c>
      <c r="AK50" s="78"/>
    </row>
    <row r="51" ht="15.75" customHeight="1">
      <c r="A51" s="50"/>
      <c r="B51" s="50"/>
      <c r="C51" s="76"/>
      <c r="D51" s="76"/>
      <c r="E51" s="76"/>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51"/>
      <c r="AI51" s="51"/>
      <c r="AJ51" s="51"/>
      <c r="AK51" s="14"/>
    </row>
    <row r="52" ht="15.75" customHeight="1">
      <c r="A52" s="50"/>
      <c r="B52" s="50"/>
      <c r="C52" s="76"/>
      <c r="D52" s="76"/>
      <c r="E52" s="76"/>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51"/>
      <c r="AI52" s="51"/>
      <c r="AJ52" s="51"/>
      <c r="AK52" s="14"/>
    </row>
    <row r="53" ht="15.75" customHeight="1">
      <c r="A53" s="50"/>
      <c r="B53" s="50"/>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51"/>
      <c r="AI53" s="51"/>
      <c r="AJ53" s="51"/>
      <c r="AK53" s="14"/>
    </row>
    <row r="54" ht="15.75" customHeight="1">
      <c r="A54" s="50"/>
      <c r="B54" s="50"/>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51"/>
      <c r="AI54" s="51"/>
      <c r="AJ54" s="51"/>
      <c r="AK54" s="14"/>
    </row>
    <row r="55" ht="15.75" customHeight="1">
      <c r="A55" s="50"/>
      <c r="B55" s="50"/>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51"/>
      <c r="AI55" s="51"/>
      <c r="AJ55" s="51"/>
      <c r="AK55" s="14"/>
    </row>
    <row r="56" ht="15.75" customHeight="1">
      <c r="A56" s="50"/>
      <c r="B56" s="50"/>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51"/>
      <c r="AI56" s="51"/>
      <c r="AJ56" s="51"/>
      <c r="AK56" s="14"/>
    </row>
    <row r="57" ht="15.75" customHeight="1">
      <c r="A57" s="50"/>
      <c r="B57" s="50"/>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51"/>
      <c r="AI57" s="51"/>
      <c r="AJ57" s="51"/>
      <c r="AK57" s="14"/>
    </row>
    <row r="58" ht="15.75" customHeight="1">
      <c r="A58" s="50"/>
      <c r="B58" s="50"/>
      <c r="C58" s="76"/>
      <c r="D58" s="76"/>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51"/>
      <c r="AI58" s="51"/>
      <c r="AJ58" s="51"/>
      <c r="AK58" s="14"/>
    </row>
    <row r="59" ht="15.75" customHeight="1">
      <c r="A59" s="50"/>
      <c r="B59" s="50"/>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51"/>
      <c r="AI59" s="51"/>
      <c r="AJ59" s="51"/>
      <c r="AK59" s="14"/>
    </row>
    <row r="60" ht="15.75" customHeight="1">
      <c r="A60" s="50"/>
      <c r="B60" s="50"/>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51"/>
      <c r="AI60" s="51"/>
      <c r="AJ60" s="51"/>
      <c r="AK60" s="14"/>
    </row>
    <row r="61" ht="15.75" customHeight="1">
      <c r="A61" s="50"/>
      <c r="B61" s="50"/>
      <c r="C61" s="76"/>
      <c r="D61" s="76"/>
      <c r="E61" s="76"/>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51"/>
      <c r="AI61" s="51"/>
      <c r="AJ61" s="51"/>
      <c r="AK61" s="14"/>
    </row>
    <row r="62" ht="15.75" customHeight="1">
      <c r="A62" s="50"/>
      <c r="B62" s="50"/>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51"/>
      <c r="AI62" s="51"/>
      <c r="AJ62" s="51"/>
      <c r="AK62" s="14"/>
    </row>
    <row r="63" ht="15.75" customHeight="1">
      <c r="A63" s="50"/>
      <c r="B63" s="50"/>
      <c r="C63" s="76"/>
      <c r="D63" s="76"/>
      <c r="E63" s="76"/>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51"/>
      <c r="AI63" s="51"/>
      <c r="AJ63" s="51"/>
      <c r="AK63" s="14"/>
    </row>
    <row r="64" ht="15.75" customHeight="1">
      <c r="A64" s="50"/>
      <c r="B64" s="50"/>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51"/>
      <c r="AI64" s="51"/>
      <c r="AJ64" s="51"/>
      <c r="AK64" s="14"/>
    </row>
    <row r="65" ht="15.75" customHeight="1">
      <c r="A65" s="50"/>
      <c r="B65" s="50"/>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51"/>
      <c r="AI65" s="51"/>
      <c r="AJ65" s="51"/>
      <c r="AK65" s="14"/>
    </row>
    <row r="66" ht="15.75" customHeight="1">
      <c r="A66" s="50"/>
      <c r="B66" s="50"/>
      <c r="C66" s="76"/>
      <c r="D66" s="76"/>
      <c r="E66" s="76"/>
      <c r="F66" s="76"/>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51"/>
      <c r="AI66" s="51"/>
      <c r="AJ66" s="51"/>
      <c r="AK66" s="14"/>
    </row>
    <row r="67" ht="15.75" customHeight="1">
      <c r="A67" s="50"/>
      <c r="B67" s="50"/>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51"/>
      <c r="AI67" s="51"/>
      <c r="AJ67" s="51"/>
      <c r="AK67" s="14"/>
    </row>
    <row r="68" ht="15.75" customHeight="1">
      <c r="A68" s="50"/>
      <c r="B68" s="50"/>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51"/>
      <c r="AI68" s="51"/>
      <c r="AJ68" s="51"/>
      <c r="AK68" s="14"/>
    </row>
    <row r="69" ht="15.75" customHeight="1">
      <c r="A69" s="50"/>
      <c r="B69" s="50"/>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51"/>
      <c r="AI69" s="51"/>
      <c r="AJ69" s="51"/>
      <c r="AK69" s="14"/>
    </row>
    <row r="70" ht="15.75" customHeight="1">
      <c r="A70" s="50"/>
      <c r="B70" s="50"/>
      <c r="C70" s="76"/>
      <c r="D70" s="76"/>
      <c r="E70" s="76"/>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51"/>
      <c r="AI70" s="51"/>
      <c r="AJ70" s="51"/>
      <c r="AK70" s="14"/>
    </row>
    <row r="71" ht="15.75" customHeight="1">
      <c r="A71" s="50"/>
      <c r="B71" s="50"/>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51"/>
      <c r="AI71" s="51"/>
      <c r="AJ71" s="51"/>
      <c r="AK71" s="14"/>
    </row>
    <row r="72" ht="15.75" customHeight="1">
      <c r="A72" s="50"/>
      <c r="B72" s="50"/>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51"/>
      <c r="AI72" s="51"/>
      <c r="AJ72" s="51"/>
      <c r="AK72" s="14"/>
    </row>
    <row r="73" ht="15.75" customHeight="1">
      <c r="A73" s="50"/>
      <c r="B73" s="50"/>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51"/>
      <c r="AI73" s="51"/>
      <c r="AJ73" s="51"/>
      <c r="AK73" s="14"/>
    </row>
    <row r="74" ht="15.75" customHeight="1">
      <c r="A74" s="50"/>
      <c r="B74" s="50"/>
      <c r="C74" s="76"/>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51"/>
      <c r="AI74" s="51"/>
      <c r="AJ74" s="51"/>
      <c r="AK74" s="14"/>
    </row>
    <row r="75" ht="15.75" customHeight="1">
      <c r="A75" s="50"/>
      <c r="B75" s="50"/>
      <c r="C75" s="76"/>
      <c r="D75" s="76"/>
      <c r="E75" s="76"/>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51"/>
      <c r="AI75" s="51"/>
      <c r="AJ75" s="51"/>
      <c r="AK75" s="14"/>
    </row>
    <row r="76" ht="15.75" customHeight="1">
      <c r="A76" s="50"/>
      <c r="B76" s="50"/>
      <c r="C76" s="76"/>
      <c r="D76" s="76"/>
      <c r="E76" s="76"/>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51"/>
      <c r="AI76" s="51"/>
      <c r="AJ76" s="51"/>
      <c r="AK76" s="14"/>
    </row>
    <row r="77" ht="15.75" customHeight="1">
      <c r="A77" s="50"/>
      <c r="B77" s="50"/>
      <c r="C77" s="76"/>
      <c r="D77" s="76"/>
      <c r="E77" s="76"/>
      <c r="F77" s="76"/>
      <c r="G77" s="76"/>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51"/>
      <c r="AI77" s="51"/>
      <c r="AJ77" s="51"/>
      <c r="AK77" s="14"/>
    </row>
    <row r="78" ht="15.75" customHeight="1">
      <c r="A78" s="50"/>
      <c r="B78" s="50"/>
      <c r="C78" s="76"/>
      <c r="D78" s="76"/>
      <c r="E78" s="76"/>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51"/>
      <c r="AI78" s="51"/>
      <c r="AJ78" s="51"/>
      <c r="AK78" s="14"/>
    </row>
    <row r="79" ht="15.75" customHeight="1">
      <c r="A79" s="50"/>
      <c r="B79" s="50"/>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51"/>
      <c r="AI79" s="51"/>
      <c r="AJ79" s="51"/>
      <c r="AK79" s="14"/>
    </row>
    <row r="80" ht="15.75" customHeight="1">
      <c r="A80" s="50"/>
      <c r="B80" s="50"/>
      <c r="C80" s="76"/>
      <c r="D80" s="76"/>
      <c r="E80" s="76"/>
      <c r="F80" s="76"/>
      <c r="G80" s="76"/>
      <c r="H80" s="76"/>
      <c r="I80" s="76"/>
      <c r="J80" s="76"/>
      <c r="K80" s="76"/>
      <c r="L80" s="76"/>
      <c r="M80" s="76"/>
      <c r="N80" s="76"/>
      <c r="O80" s="76"/>
      <c r="P80" s="76"/>
      <c r="Q80" s="76"/>
      <c r="R80" s="76"/>
      <c r="S80" s="76"/>
      <c r="T80" s="76"/>
      <c r="U80" s="76"/>
      <c r="V80" s="76"/>
      <c r="W80" s="76"/>
      <c r="X80" s="76"/>
      <c r="Y80" s="76"/>
      <c r="Z80" s="76"/>
      <c r="AA80" s="76"/>
      <c r="AB80" s="76"/>
      <c r="AC80" s="76"/>
      <c r="AD80" s="76"/>
      <c r="AE80" s="76"/>
      <c r="AF80" s="76"/>
      <c r="AG80" s="76"/>
      <c r="AH80" s="51"/>
      <c r="AI80" s="51"/>
      <c r="AJ80" s="51"/>
      <c r="AK80" s="14"/>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K1"/>
  </mergeCells>
  <conditionalFormatting sqref="C21:AG50">
    <cfRule type="expression" dxfId="5" priority="1">
      <formula>C$19&lt;&gt;1</formula>
    </cfRule>
  </conditionalFormatting>
  <conditionalFormatting sqref="C21:AG80">
    <cfRule type="expression" dxfId="0" priority="2">
      <formula>C21="C"</formula>
    </cfRule>
  </conditionalFormatting>
  <conditionalFormatting sqref="C21:AG80">
    <cfRule type="expression" dxfId="1" priority="3">
      <formula>C21="N"</formula>
    </cfRule>
  </conditionalFormatting>
  <conditionalFormatting sqref="C17:AG20">
    <cfRule type="expression" dxfId="6" priority="4">
      <formula>C$19=1</formula>
    </cfRule>
  </conditionalFormatting>
  <dataValidations>
    <dataValidation type="list" allowBlank="1" sqref="C21:AG80">
      <formula1>"C,N"</formula1>
    </dataValidation>
  </dataValidations>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24.0"/>
    <col customWidth="1" min="3" max="33" width="5.0"/>
    <col customWidth="1" min="34" max="36" width="13.0"/>
    <col customWidth="1" min="37" max="37" width="42.0"/>
  </cols>
  <sheetData>
    <row r="1" ht="30.0" customHeight="1">
      <c r="A1" s="64" t="s">
        <v>373</v>
      </c>
    </row>
    <row r="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ht="18.0" customHeight="1">
      <c r="A3" s="67" t="s">
        <v>10</v>
      </c>
      <c r="B3" s="51" t="str">
        <f>IFERROR(DANH_MUC_LOP!$B$9,"")</f>
        <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ht="18.0" customHeight="1">
      <c r="A4" s="67" t="s">
        <v>76</v>
      </c>
      <c r="B4" s="68">
        <f>IFERROR(DIEU_KHIEN!$B$4,"")</f>
        <v>46235</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row>
    <row r="5" ht="18.0" customHeight="1">
      <c r="A5" s="67" t="s">
        <v>19</v>
      </c>
      <c r="B5" s="51" t="str">
        <f>IFERROR(DANH_MUC_LOP!$C$9,"")</f>
        <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row>
    <row r="6" ht="18.0" customHeight="1">
      <c r="A6" s="67" t="s">
        <v>21</v>
      </c>
      <c r="B6" s="51" t="str">
        <f>IFERROR(DANH_MUC_LOP!$D$9,"")</f>
        <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row>
    <row r="7" ht="18.0" customHeight="1">
      <c r="A7" s="67" t="s">
        <v>22</v>
      </c>
      <c r="B7" s="51" t="str">
        <f>IFERROR(DANH_MUC_LOP!$E$9,"")</f>
        <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row>
    <row r="8" ht="18.0" customHeight="1">
      <c r="A8" s="67" t="s">
        <v>23</v>
      </c>
      <c r="B8" s="43" t="str">
        <f>IFERROR(DANH_MUC_LOP!$F$9,"")</f>
        <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row>
    <row r="9" ht="18.0" customHeight="1">
      <c r="A9" s="67" t="s">
        <v>195</v>
      </c>
      <c r="B9" s="51" t="str">
        <f>IFERROR(DANH_MUC_LOP!$G$9,"")</f>
        <v>Không</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row>
    <row r="10" ht="18.0" customHeight="1">
      <c r="A10" s="67" t="s">
        <v>197</v>
      </c>
      <c r="B10" s="51" t="str">
        <f>IFERROR(DANH_MUC_LOP!$H$9,"")</f>
        <v>Không</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row>
    <row r="11" ht="18.0" customHeight="1">
      <c r="A11" s="67" t="s">
        <v>199</v>
      </c>
      <c r="B11" s="51" t="str">
        <f>IFERROR(DANH_MUC_LOP!$I$9,"")</f>
        <v>Không</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row>
    <row r="12" ht="18.0" customHeight="1">
      <c r="A12" s="67" t="s">
        <v>201</v>
      </c>
      <c r="B12" s="51" t="str">
        <f>IFERROR(DANH_MUC_LOP!$J$9,"")</f>
        <v>Không</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row>
    <row r="13" ht="18.0" customHeight="1">
      <c r="A13" s="67" t="s">
        <v>203</v>
      </c>
      <c r="B13" s="51" t="str">
        <f>IFERROR(DANH_MUC_LOP!$K$9,"")</f>
        <v>Không</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row>
    <row r="14" ht="18.0" customHeight="1">
      <c r="A14" s="67" t="s">
        <v>205</v>
      </c>
      <c r="B14" s="51" t="str">
        <f>IFERROR(DANH_MUC_LOP!$L$9,"")</f>
        <v>Không</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ht="18.0" customHeight="1">
      <c r="A15" s="67" t="s">
        <v>206</v>
      </c>
      <c r="B15" s="51" t="str">
        <f>IFERROR(DANH_MUC_LOP!$M$9,"")</f>
        <v>Không</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row>
    <row r="16" ht="18.0" customHeight="1">
      <c r="A16" s="67" t="s">
        <v>209</v>
      </c>
      <c r="B16" s="51" t="str">
        <f>IFERROR(IF(DANH_MUC_LOP!$R$9&gt;0,DANH_MUC_LOP!$R$9,SUM(C19:AG19)),SUM(C19:AG19))</f>
        <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row>
    <row r="17">
      <c r="A17" s="4" t="s">
        <v>212</v>
      </c>
      <c r="B17" s="4"/>
      <c r="C17" s="71">
        <v>1.0</v>
      </c>
      <c r="D17" s="71">
        <v>2.0</v>
      </c>
      <c r="E17" s="71">
        <v>3.0</v>
      </c>
      <c r="F17" s="71">
        <v>4.0</v>
      </c>
      <c r="G17" s="71">
        <v>5.0</v>
      </c>
      <c r="H17" s="71">
        <v>6.0</v>
      </c>
      <c r="I17" s="71">
        <v>7.0</v>
      </c>
      <c r="J17" s="71">
        <v>8.0</v>
      </c>
      <c r="K17" s="71">
        <v>9.0</v>
      </c>
      <c r="L17" s="71">
        <v>10.0</v>
      </c>
      <c r="M17" s="71">
        <v>11.0</v>
      </c>
      <c r="N17" s="71">
        <v>12.0</v>
      </c>
      <c r="O17" s="71">
        <v>13.0</v>
      </c>
      <c r="P17" s="71">
        <v>14.0</v>
      </c>
      <c r="Q17" s="71">
        <v>15.0</v>
      </c>
      <c r="R17" s="71">
        <v>16.0</v>
      </c>
      <c r="S17" s="71">
        <v>17.0</v>
      </c>
      <c r="T17" s="71">
        <v>18.0</v>
      </c>
      <c r="U17" s="71">
        <v>19.0</v>
      </c>
      <c r="V17" s="71">
        <v>20.0</v>
      </c>
      <c r="W17" s="71">
        <v>21.0</v>
      </c>
      <c r="X17" s="71">
        <v>22.0</v>
      </c>
      <c r="Y17" s="71">
        <v>23.0</v>
      </c>
      <c r="Z17" s="71">
        <v>24.0</v>
      </c>
      <c r="AA17" s="71">
        <v>25.0</v>
      </c>
      <c r="AB17" s="71">
        <v>26.0</v>
      </c>
      <c r="AC17" s="71">
        <v>27.0</v>
      </c>
      <c r="AD17" s="71">
        <v>28.0</v>
      </c>
      <c r="AE17" s="71">
        <v>29.0</v>
      </c>
      <c r="AF17" s="71">
        <v>30.0</v>
      </c>
      <c r="AG17" s="71">
        <v>31.0</v>
      </c>
      <c r="AH17" s="72"/>
      <c r="AI17" s="72"/>
      <c r="AJ17" s="72"/>
      <c r="AK17" s="72"/>
    </row>
    <row r="18">
      <c r="A18" s="4" t="s">
        <v>5</v>
      </c>
      <c r="B18" s="4"/>
      <c r="C18" s="74">
        <f t="shared" ref="C18:AG18" si="1">IFERROR(IF(MONTH(DATE(YEAR($B$4),MONTH($B$4),C$17))=MONTH($B$4),DATE(YEAR($B$4),MONTH($B$4),C$17),""),"")</f>
        <v>46235</v>
      </c>
      <c r="D18" s="74">
        <f t="shared" si="1"/>
        <v>46236</v>
      </c>
      <c r="E18" s="74">
        <f t="shared" si="1"/>
        <v>46237</v>
      </c>
      <c r="F18" s="74">
        <f t="shared" si="1"/>
        <v>46238</v>
      </c>
      <c r="G18" s="74">
        <f t="shared" si="1"/>
        <v>46239</v>
      </c>
      <c r="H18" s="74">
        <f t="shared" si="1"/>
        <v>46240</v>
      </c>
      <c r="I18" s="74">
        <f t="shared" si="1"/>
        <v>46241</v>
      </c>
      <c r="J18" s="74">
        <f t="shared" si="1"/>
        <v>46242</v>
      </c>
      <c r="K18" s="74">
        <f t="shared" si="1"/>
        <v>46243</v>
      </c>
      <c r="L18" s="74">
        <f t="shared" si="1"/>
        <v>46244</v>
      </c>
      <c r="M18" s="74">
        <f t="shared" si="1"/>
        <v>46245</v>
      </c>
      <c r="N18" s="74">
        <f t="shared" si="1"/>
        <v>46246</v>
      </c>
      <c r="O18" s="74">
        <f t="shared" si="1"/>
        <v>46247</v>
      </c>
      <c r="P18" s="74">
        <f t="shared" si="1"/>
        <v>46248</v>
      </c>
      <c r="Q18" s="74">
        <f t="shared" si="1"/>
        <v>46249</v>
      </c>
      <c r="R18" s="74">
        <f t="shared" si="1"/>
        <v>46250</v>
      </c>
      <c r="S18" s="74">
        <f t="shared" si="1"/>
        <v>46251</v>
      </c>
      <c r="T18" s="74">
        <f t="shared" si="1"/>
        <v>46252</v>
      </c>
      <c r="U18" s="74">
        <f t="shared" si="1"/>
        <v>46253</v>
      </c>
      <c r="V18" s="74">
        <f t="shared" si="1"/>
        <v>46254</v>
      </c>
      <c r="W18" s="74">
        <f t="shared" si="1"/>
        <v>46255</v>
      </c>
      <c r="X18" s="74">
        <f t="shared" si="1"/>
        <v>46256</v>
      </c>
      <c r="Y18" s="74">
        <f t="shared" si="1"/>
        <v>46257</v>
      </c>
      <c r="Z18" s="74">
        <f t="shared" si="1"/>
        <v>46258</v>
      </c>
      <c r="AA18" s="74">
        <f t="shared" si="1"/>
        <v>46259</v>
      </c>
      <c r="AB18" s="74">
        <f t="shared" si="1"/>
        <v>46260</v>
      </c>
      <c r="AC18" s="74">
        <f t="shared" si="1"/>
        <v>46261</v>
      </c>
      <c r="AD18" s="74">
        <f t="shared" si="1"/>
        <v>46262</v>
      </c>
      <c r="AE18" s="74">
        <f t="shared" si="1"/>
        <v>46263</v>
      </c>
      <c r="AF18" s="74">
        <f t="shared" si="1"/>
        <v>46264</v>
      </c>
      <c r="AG18" s="74">
        <f t="shared" si="1"/>
        <v>46265</v>
      </c>
      <c r="AH18" s="72"/>
      <c r="AI18" s="72"/>
      <c r="AJ18" s="72"/>
      <c r="AK18" s="72"/>
    </row>
    <row r="19">
      <c r="A19" s="4" t="s">
        <v>215</v>
      </c>
      <c r="B19" s="4"/>
      <c r="C19" s="71">
        <f t="shared" ref="C19:AG19" si="2">IFERROR(IF(C18="","",IF(CHOOSE(WEEKDAY(C18,2),$B$9,$B$10,$B$11,$B$12,$B$13,$B$14,$B$15)="Có",1,0)),"")</f>
        <v>0</v>
      </c>
      <c r="D19" s="71">
        <f t="shared" si="2"/>
        <v>0</v>
      </c>
      <c r="E19" s="71">
        <f t="shared" si="2"/>
        <v>0</v>
      </c>
      <c r="F19" s="71">
        <f t="shared" si="2"/>
        <v>0</v>
      </c>
      <c r="G19" s="71">
        <f t="shared" si="2"/>
        <v>0</v>
      </c>
      <c r="H19" s="71">
        <f t="shared" si="2"/>
        <v>0</v>
      </c>
      <c r="I19" s="71">
        <f t="shared" si="2"/>
        <v>0</v>
      </c>
      <c r="J19" s="71">
        <f t="shared" si="2"/>
        <v>0</v>
      </c>
      <c r="K19" s="71">
        <f t="shared" si="2"/>
        <v>0</v>
      </c>
      <c r="L19" s="71">
        <f t="shared" si="2"/>
        <v>0</v>
      </c>
      <c r="M19" s="71">
        <f t="shared" si="2"/>
        <v>0</v>
      </c>
      <c r="N19" s="71">
        <f t="shared" si="2"/>
        <v>0</v>
      </c>
      <c r="O19" s="71">
        <f t="shared" si="2"/>
        <v>0</v>
      </c>
      <c r="P19" s="71">
        <f t="shared" si="2"/>
        <v>0</v>
      </c>
      <c r="Q19" s="71">
        <f t="shared" si="2"/>
        <v>0</v>
      </c>
      <c r="R19" s="71">
        <f t="shared" si="2"/>
        <v>0</v>
      </c>
      <c r="S19" s="71">
        <f t="shared" si="2"/>
        <v>0</v>
      </c>
      <c r="T19" s="71">
        <f t="shared" si="2"/>
        <v>0</v>
      </c>
      <c r="U19" s="71">
        <f t="shared" si="2"/>
        <v>0</v>
      </c>
      <c r="V19" s="71">
        <f t="shared" si="2"/>
        <v>0</v>
      </c>
      <c r="W19" s="71">
        <f t="shared" si="2"/>
        <v>0</v>
      </c>
      <c r="X19" s="71">
        <f t="shared" si="2"/>
        <v>0</v>
      </c>
      <c r="Y19" s="71">
        <f t="shared" si="2"/>
        <v>0</v>
      </c>
      <c r="Z19" s="71">
        <f t="shared" si="2"/>
        <v>0</v>
      </c>
      <c r="AA19" s="71">
        <f t="shared" si="2"/>
        <v>0</v>
      </c>
      <c r="AB19" s="71">
        <f t="shared" si="2"/>
        <v>0</v>
      </c>
      <c r="AC19" s="71">
        <f t="shared" si="2"/>
        <v>0</v>
      </c>
      <c r="AD19" s="71">
        <f t="shared" si="2"/>
        <v>0</v>
      </c>
      <c r="AE19" s="71">
        <f t="shared" si="2"/>
        <v>0</v>
      </c>
      <c r="AF19" s="71">
        <f t="shared" si="2"/>
        <v>0</v>
      </c>
      <c r="AG19" s="71">
        <f t="shared" si="2"/>
        <v>0</v>
      </c>
      <c r="AH19" s="72"/>
      <c r="AI19" s="72"/>
      <c r="AJ19" s="72"/>
      <c r="AK19" s="72"/>
    </row>
    <row r="20" ht="27.75" customHeight="1">
      <c r="A20" s="5" t="s">
        <v>14</v>
      </c>
      <c r="B20" s="5" t="s">
        <v>16</v>
      </c>
      <c r="C20" s="5" t="s">
        <v>216</v>
      </c>
      <c r="D20" s="5" t="s">
        <v>217</v>
      </c>
      <c r="E20" s="5" t="s">
        <v>218</v>
      </c>
      <c r="F20" s="5" t="s">
        <v>219</v>
      </c>
      <c r="G20" s="5" t="s">
        <v>220</v>
      </c>
      <c r="H20" s="5" t="s">
        <v>221</v>
      </c>
      <c r="I20" s="5" t="s">
        <v>222</v>
      </c>
      <c r="J20" s="5" t="s">
        <v>223</v>
      </c>
      <c r="K20" s="5" t="s">
        <v>224</v>
      </c>
      <c r="L20" s="5" t="s">
        <v>225</v>
      </c>
      <c r="M20" s="5" t="s">
        <v>226</v>
      </c>
      <c r="N20" s="5" t="s">
        <v>227</v>
      </c>
      <c r="O20" s="5" t="s">
        <v>228</v>
      </c>
      <c r="P20" s="5" t="s">
        <v>229</v>
      </c>
      <c r="Q20" s="5" t="s">
        <v>230</v>
      </c>
      <c r="R20" s="5" t="s">
        <v>231</v>
      </c>
      <c r="S20" s="5" t="s">
        <v>232</v>
      </c>
      <c r="T20" s="5" t="s">
        <v>233</v>
      </c>
      <c r="U20" s="5" t="s">
        <v>234</v>
      </c>
      <c r="V20" s="5" t="s">
        <v>235</v>
      </c>
      <c r="W20" s="5" t="s">
        <v>236</v>
      </c>
      <c r="X20" s="5" t="s">
        <v>237</v>
      </c>
      <c r="Y20" s="5" t="s">
        <v>238</v>
      </c>
      <c r="Z20" s="5" t="s">
        <v>239</v>
      </c>
      <c r="AA20" s="5" t="s">
        <v>240</v>
      </c>
      <c r="AB20" s="5" t="s">
        <v>241</v>
      </c>
      <c r="AC20" s="5" t="s">
        <v>242</v>
      </c>
      <c r="AD20" s="5" t="s">
        <v>243</v>
      </c>
      <c r="AE20" s="5" t="s">
        <v>244</v>
      </c>
      <c r="AF20" s="5" t="s">
        <v>246</v>
      </c>
      <c r="AG20" s="5" t="s">
        <v>247</v>
      </c>
      <c r="AH20" s="5" t="s">
        <v>248</v>
      </c>
      <c r="AI20" s="5" t="s">
        <v>249</v>
      </c>
      <c r="AJ20" s="5" t="s">
        <v>250</v>
      </c>
      <c r="AK20" s="5" t="s">
        <v>15</v>
      </c>
    </row>
    <row r="21" ht="15.75" customHeight="1">
      <c r="A21" s="50"/>
      <c r="B21" s="50"/>
      <c r="C21" s="76"/>
      <c r="D21" s="76"/>
      <c r="E21" s="76"/>
      <c r="F21" s="76"/>
      <c r="G21" s="76"/>
      <c r="H21" s="76"/>
      <c r="I21" s="7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51" t="str">
        <f t="shared" ref="AH21:AH50" si="3">IF(A21="","",COUNTIF(C21:AG21,"C"))</f>
        <v/>
      </c>
      <c r="AI21" s="51" t="str">
        <f t="shared" ref="AI21:AI50" si="4">IF(A21="","",COUNTIF(C21:AG21,"N")+COUNTIF(C21:AG21,"P"))</f>
        <v/>
      </c>
      <c r="AJ21" s="51" t="str">
        <f t="shared" ref="AJ21:AJ50" si="5">IF(A21="","",MAX(0,$B$16-AH21-AI21))</f>
        <v/>
      </c>
      <c r="AK21" s="78"/>
    </row>
    <row r="22" ht="15.75" customHeight="1">
      <c r="A22" s="50"/>
      <c r="B22" s="50"/>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6"/>
      <c r="AD22" s="76"/>
      <c r="AE22" s="76"/>
      <c r="AF22" s="76"/>
      <c r="AG22" s="76"/>
      <c r="AH22" s="51" t="str">
        <f t="shared" si="3"/>
        <v/>
      </c>
      <c r="AI22" s="51" t="str">
        <f t="shared" si="4"/>
        <v/>
      </c>
      <c r="AJ22" s="51" t="str">
        <f t="shared" si="5"/>
        <v/>
      </c>
      <c r="AK22" s="78"/>
    </row>
    <row r="23" ht="15.75" customHeight="1">
      <c r="A23" s="50"/>
      <c r="B23" s="50"/>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6"/>
      <c r="AD23" s="76"/>
      <c r="AE23" s="76"/>
      <c r="AF23" s="76"/>
      <c r="AG23" s="76"/>
      <c r="AH23" s="51" t="str">
        <f t="shared" si="3"/>
        <v/>
      </c>
      <c r="AI23" s="51" t="str">
        <f t="shared" si="4"/>
        <v/>
      </c>
      <c r="AJ23" s="51" t="str">
        <f t="shared" si="5"/>
        <v/>
      </c>
      <c r="AK23" s="78"/>
    </row>
    <row r="24" ht="15.75" customHeight="1">
      <c r="A24" s="50"/>
      <c r="B24" s="50"/>
      <c r="C24" s="76"/>
      <c r="D24" s="76"/>
      <c r="E24" s="76"/>
      <c r="F24" s="76"/>
      <c r="G24" s="76"/>
      <c r="H24" s="76"/>
      <c r="I24" s="76"/>
      <c r="J24" s="76"/>
      <c r="K24" s="76"/>
      <c r="L24" s="76"/>
      <c r="M24" s="76"/>
      <c r="N24" s="76"/>
      <c r="O24" s="76"/>
      <c r="P24" s="76"/>
      <c r="Q24" s="76"/>
      <c r="R24" s="76"/>
      <c r="S24" s="76"/>
      <c r="T24" s="76"/>
      <c r="U24" s="76"/>
      <c r="V24" s="76"/>
      <c r="W24" s="76"/>
      <c r="X24" s="76"/>
      <c r="Y24" s="76"/>
      <c r="Z24" s="76"/>
      <c r="AA24" s="76"/>
      <c r="AB24" s="76"/>
      <c r="AC24" s="76"/>
      <c r="AD24" s="76"/>
      <c r="AE24" s="76"/>
      <c r="AF24" s="76"/>
      <c r="AG24" s="76"/>
      <c r="AH24" s="51" t="str">
        <f t="shared" si="3"/>
        <v/>
      </c>
      <c r="AI24" s="51" t="str">
        <f t="shared" si="4"/>
        <v/>
      </c>
      <c r="AJ24" s="51" t="str">
        <f t="shared" si="5"/>
        <v/>
      </c>
      <c r="AK24" s="78"/>
    </row>
    <row r="25" ht="15.75" customHeight="1">
      <c r="A25" s="50"/>
      <c r="B25" s="50"/>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c r="AF25" s="76"/>
      <c r="AG25" s="76"/>
      <c r="AH25" s="51" t="str">
        <f t="shared" si="3"/>
        <v/>
      </c>
      <c r="AI25" s="51" t="str">
        <f t="shared" si="4"/>
        <v/>
      </c>
      <c r="AJ25" s="51" t="str">
        <f t="shared" si="5"/>
        <v/>
      </c>
      <c r="AK25" s="78"/>
    </row>
    <row r="26" ht="15.75" customHeight="1">
      <c r="A26" s="50"/>
      <c r="B26" s="50"/>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51" t="str">
        <f t="shared" si="3"/>
        <v/>
      </c>
      <c r="AI26" s="51" t="str">
        <f t="shared" si="4"/>
        <v/>
      </c>
      <c r="AJ26" s="51" t="str">
        <f t="shared" si="5"/>
        <v/>
      </c>
      <c r="AK26" s="78"/>
    </row>
    <row r="27" ht="15.75" customHeight="1">
      <c r="A27" s="50"/>
      <c r="B27" s="50"/>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51" t="str">
        <f t="shared" si="3"/>
        <v/>
      </c>
      <c r="AI27" s="51" t="str">
        <f t="shared" si="4"/>
        <v/>
      </c>
      <c r="AJ27" s="51" t="str">
        <f t="shared" si="5"/>
        <v/>
      </c>
      <c r="AK27" s="78"/>
    </row>
    <row r="28" ht="15.75" customHeight="1">
      <c r="A28" s="50"/>
      <c r="B28" s="50"/>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51" t="str">
        <f t="shared" si="3"/>
        <v/>
      </c>
      <c r="AI28" s="51" t="str">
        <f t="shared" si="4"/>
        <v/>
      </c>
      <c r="AJ28" s="51" t="str">
        <f t="shared" si="5"/>
        <v/>
      </c>
      <c r="AK28" s="78"/>
    </row>
    <row r="29" ht="15.75" customHeight="1">
      <c r="A29" s="50"/>
      <c r="B29" s="50"/>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c r="AF29" s="76"/>
      <c r="AG29" s="76"/>
      <c r="AH29" s="51" t="str">
        <f t="shared" si="3"/>
        <v/>
      </c>
      <c r="AI29" s="51" t="str">
        <f t="shared" si="4"/>
        <v/>
      </c>
      <c r="AJ29" s="51" t="str">
        <f t="shared" si="5"/>
        <v/>
      </c>
      <c r="AK29" s="78"/>
    </row>
    <row r="30" ht="15.75" customHeight="1">
      <c r="A30" s="50"/>
      <c r="B30" s="50"/>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6"/>
      <c r="AD30" s="76"/>
      <c r="AE30" s="76"/>
      <c r="AF30" s="76"/>
      <c r="AG30" s="76"/>
      <c r="AH30" s="51" t="str">
        <f t="shared" si="3"/>
        <v/>
      </c>
      <c r="AI30" s="51" t="str">
        <f t="shared" si="4"/>
        <v/>
      </c>
      <c r="AJ30" s="51" t="str">
        <f t="shared" si="5"/>
        <v/>
      </c>
      <c r="AK30" s="78"/>
    </row>
    <row r="31" ht="15.75" customHeight="1">
      <c r="A31" s="50"/>
      <c r="B31" s="50"/>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c r="AF31" s="76"/>
      <c r="AG31" s="76"/>
      <c r="AH31" s="51" t="str">
        <f t="shared" si="3"/>
        <v/>
      </c>
      <c r="AI31" s="51" t="str">
        <f t="shared" si="4"/>
        <v/>
      </c>
      <c r="AJ31" s="51" t="str">
        <f t="shared" si="5"/>
        <v/>
      </c>
      <c r="AK31" s="78"/>
    </row>
    <row r="32" ht="15.75" customHeight="1">
      <c r="A32" s="50"/>
      <c r="B32" s="50"/>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51" t="str">
        <f t="shared" si="3"/>
        <v/>
      </c>
      <c r="AI32" s="51" t="str">
        <f t="shared" si="4"/>
        <v/>
      </c>
      <c r="AJ32" s="51" t="str">
        <f t="shared" si="5"/>
        <v/>
      </c>
      <c r="AK32" s="78"/>
    </row>
    <row r="33" ht="15.75" customHeight="1">
      <c r="A33" s="50"/>
      <c r="B33" s="50"/>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c r="AF33" s="76"/>
      <c r="AG33" s="76"/>
      <c r="AH33" s="51" t="str">
        <f t="shared" si="3"/>
        <v/>
      </c>
      <c r="AI33" s="51" t="str">
        <f t="shared" si="4"/>
        <v/>
      </c>
      <c r="AJ33" s="51" t="str">
        <f t="shared" si="5"/>
        <v/>
      </c>
      <c r="AK33" s="78"/>
    </row>
    <row r="34" ht="15.75" customHeight="1">
      <c r="A34" s="50"/>
      <c r="B34" s="50"/>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c r="AF34" s="76"/>
      <c r="AG34" s="76"/>
      <c r="AH34" s="51" t="str">
        <f t="shared" si="3"/>
        <v/>
      </c>
      <c r="AI34" s="51" t="str">
        <f t="shared" si="4"/>
        <v/>
      </c>
      <c r="AJ34" s="51" t="str">
        <f t="shared" si="5"/>
        <v/>
      </c>
      <c r="AK34" s="78"/>
    </row>
    <row r="35" ht="15.75" customHeight="1">
      <c r="A35" s="50"/>
      <c r="B35" s="50"/>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6"/>
      <c r="AF35" s="76"/>
      <c r="AG35" s="76"/>
      <c r="AH35" s="51" t="str">
        <f t="shared" si="3"/>
        <v/>
      </c>
      <c r="AI35" s="51" t="str">
        <f t="shared" si="4"/>
        <v/>
      </c>
      <c r="AJ35" s="51" t="str">
        <f t="shared" si="5"/>
        <v/>
      </c>
      <c r="AK35" s="78"/>
    </row>
    <row r="36" ht="15.75" customHeight="1">
      <c r="A36" s="50"/>
      <c r="B36" s="50"/>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51" t="str">
        <f t="shared" si="3"/>
        <v/>
      </c>
      <c r="AI36" s="51" t="str">
        <f t="shared" si="4"/>
        <v/>
      </c>
      <c r="AJ36" s="51" t="str">
        <f t="shared" si="5"/>
        <v/>
      </c>
      <c r="AK36" s="78"/>
    </row>
    <row r="37" ht="15.75" customHeight="1">
      <c r="A37" s="50"/>
      <c r="B37" s="50"/>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51" t="str">
        <f t="shared" si="3"/>
        <v/>
      </c>
      <c r="AI37" s="51" t="str">
        <f t="shared" si="4"/>
        <v/>
      </c>
      <c r="AJ37" s="51" t="str">
        <f t="shared" si="5"/>
        <v/>
      </c>
      <c r="AK37" s="78"/>
    </row>
    <row r="38" ht="15.75" customHeight="1">
      <c r="A38" s="50"/>
      <c r="B38" s="50"/>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6"/>
      <c r="AC38" s="76"/>
      <c r="AD38" s="76"/>
      <c r="AE38" s="76"/>
      <c r="AF38" s="76"/>
      <c r="AG38" s="76"/>
      <c r="AH38" s="51" t="str">
        <f t="shared" si="3"/>
        <v/>
      </c>
      <c r="AI38" s="51" t="str">
        <f t="shared" si="4"/>
        <v/>
      </c>
      <c r="AJ38" s="51" t="str">
        <f t="shared" si="5"/>
        <v/>
      </c>
      <c r="AK38" s="78"/>
    </row>
    <row r="39" ht="15.75" customHeight="1">
      <c r="A39" s="50"/>
      <c r="B39" s="50"/>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51" t="str">
        <f t="shared" si="3"/>
        <v/>
      </c>
      <c r="AI39" s="51" t="str">
        <f t="shared" si="4"/>
        <v/>
      </c>
      <c r="AJ39" s="51" t="str">
        <f t="shared" si="5"/>
        <v/>
      </c>
      <c r="AK39" s="78"/>
    </row>
    <row r="40" ht="15.75" customHeight="1">
      <c r="A40" s="50"/>
      <c r="B40" s="50"/>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51" t="str">
        <f t="shared" si="3"/>
        <v/>
      </c>
      <c r="AI40" s="51" t="str">
        <f t="shared" si="4"/>
        <v/>
      </c>
      <c r="AJ40" s="51" t="str">
        <f t="shared" si="5"/>
        <v/>
      </c>
      <c r="AK40" s="78"/>
    </row>
    <row r="41" ht="15.75" customHeight="1">
      <c r="A41" s="50"/>
      <c r="B41" s="50"/>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c r="AF41" s="76"/>
      <c r="AG41" s="76"/>
      <c r="AH41" s="51" t="str">
        <f t="shared" si="3"/>
        <v/>
      </c>
      <c r="AI41" s="51" t="str">
        <f t="shared" si="4"/>
        <v/>
      </c>
      <c r="AJ41" s="51" t="str">
        <f t="shared" si="5"/>
        <v/>
      </c>
      <c r="AK41" s="78"/>
    </row>
    <row r="42" ht="15.75" customHeight="1">
      <c r="A42" s="50"/>
      <c r="B42" s="50"/>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51" t="str">
        <f t="shared" si="3"/>
        <v/>
      </c>
      <c r="AI42" s="51" t="str">
        <f t="shared" si="4"/>
        <v/>
      </c>
      <c r="AJ42" s="51" t="str">
        <f t="shared" si="5"/>
        <v/>
      </c>
      <c r="AK42" s="78"/>
    </row>
    <row r="43" ht="15.75" customHeight="1">
      <c r="A43" s="50"/>
      <c r="B43" s="50"/>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51" t="str">
        <f t="shared" si="3"/>
        <v/>
      </c>
      <c r="AI43" s="51" t="str">
        <f t="shared" si="4"/>
        <v/>
      </c>
      <c r="AJ43" s="51" t="str">
        <f t="shared" si="5"/>
        <v/>
      </c>
      <c r="AK43" s="78"/>
    </row>
    <row r="44" ht="15.75" customHeight="1">
      <c r="A44" s="50"/>
      <c r="B44" s="50"/>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51" t="str">
        <f t="shared" si="3"/>
        <v/>
      </c>
      <c r="AI44" s="51" t="str">
        <f t="shared" si="4"/>
        <v/>
      </c>
      <c r="AJ44" s="51" t="str">
        <f t="shared" si="5"/>
        <v/>
      </c>
      <c r="AK44" s="78"/>
    </row>
    <row r="45" ht="15.75" customHeight="1">
      <c r="A45" s="50"/>
      <c r="B45" s="50"/>
      <c r="C45" s="76"/>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51" t="str">
        <f t="shared" si="3"/>
        <v/>
      </c>
      <c r="AI45" s="51" t="str">
        <f t="shared" si="4"/>
        <v/>
      </c>
      <c r="AJ45" s="51" t="str">
        <f t="shared" si="5"/>
        <v/>
      </c>
      <c r="AK45" s="78"/>
    </row>
    <row r="46" ht="15.75" customHeight="1">
      <c r="A46" s="50"/>
      <c r="B46" s="50"/>
      <c r="C46" s="76"/>
      <c r="D46" s="76"/>
      <c r="E46" s="76"/>
      <c r="F46" s="76"/>
      <c r="G46" s="76"/>
      <c r="H46" s="76"/>
      <c r="I46" s="76"/>
      <c r="J46" s="76"/>
      <c r="K46" s="76"/>
      <c r="L46" s="76"/>
      <c r="M46" s="76"/>
      <c r="N46" s="76"/>
      <c r="O46" s="76"/>
      <c r="P46" s="76"/>
      <c r="Q46" s="76"/>
      <c r="R46" s="76"/>
      <c r="S46" s="76"/>
      <c r="T46" s="76"/>
      <c r="U46" s="76"/>
      <c r="V46" s="76"/>
      <c r="W46" s="76"/>
      <c r="X46" s="76"/>
      <c r="Y46" s="76"/>
      <c r="Z46" s="76"/>
      <c r="AA46" s="76"/>
      <c r="AB46" s="76"/>
      <c r="AC46" s="76"/>
      <c r="AD46" s="76"/>
      <c r="AE46" s="76"/>
      <c r="AF46" s="76"/>
      <c r="AG46" s="76"/>
      <c r="AH46" s="51" t="str">
        <f t="shared" si="3"/>
        <v/>
      </c>
      <c r="AI46" s="51" t="str">
        <f t="shared" si="4"/>
        <v/>
      </c>
      <c r="AJ46" s="51" t="str">
        <f t="shared" si="5"/>
        <v/>
      </c>
      <c r="AK46" s="78"/>
    </row>
    <row r="47" ht="15.75" customHeight="1">
      <c r="A47" s="50"/>
      <c r="B47" s="50"/>
      <c r="C47" s="76"/>
      <c r="D47" s="76"/>
      <c r="E47" s="76"/>
      <c r="F47" s="76"/>
      <c r="G47" s="76"/>
      <c r="H47" s="76"/>
      <c r="I47" s="76"/>
      <c r="J47" s="76"/>
      <c r="K47" s="76"/>
      <c r="L47" s="76"/>
      <c r="M47" s="76"/>
      <c r="N47" s="76"/>
      <c r="O47" s="76"/>
      <c r="P47" s="76"/>
      <c r="Q47" s="76"/>
      <c r="R47" s="76"/>
      <c r="S47" s="76"/>
      <c r="T47" s="76"/>
      <c r="U47" s="76"/>
      <c r="V47" s="76"/>
      <c r="W47" s="76"/>
      <c r="X47" s="76"/>
      <c r="Y47" s="76"/>
      <c r="Z47" s="76"/>
      <c r="AA47" s="76"/>
      <c r="AB47" s="76"/>
      <c r="AC47" s="76"/>
      <c r="AD47" s="76"/>
      <c r="AE47" s="76"/>
      <c r="AF47" s="76"/>
      <c r="AG47" s="76"/>
      <c r="AH47" s="51" t="str">
        <f t="shared" si="3"/>
        <v/>
      </c>
      <c r="AI47" s="51" t="str">
        <f t="shared" si="4"/>
        <v/>
      </c>
      <c r="AJ47" s="51" t="str">
        <f t="shared" si="5"/>
        <v/>
      </c>
      <c r="AK47" s="78"/>
    </row>
    <row r="48" ht="15.75" customHeight="1">
      <c r="A48" s="50"/>
      <c r="B48" s="50"/>
      <c r="C48" s="76"/>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51" t="str">
        <f t="shared" si="3"/>
        <v/>
      </c>
      <c r="AI48" s="51" t="str">
        <f t="shared" si="4"/>
        <v/>
      </c>
      <c r="AJ48" s="51" t="str">
        <f t="shared" si="5"/>
        <v/>
      </c>
      <c r="AK48" s="78"/>
    </row>
    <row r="49" ht="15.75" customHeight="1">
      <c r="A49" s="50"/>
      <c r="B49" s="50"/>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51" t="str">
        <f t="shared" si="3"/>
        <v/>
      </c>
      <c r="AI49" s="51" t="str">
        <f t="shared" si="4"/>
        <v/>
      </c>
      <c r="AJ49" s="51" t="str">
        <f t="shared" si="5"/>
        <v/>
      </c>
      <c r="AK49" s="78"/>
    </row>
    <row r="50" ht="15.75" customHeight="1">
      <c r="A50" s="50"/>
      <c r="B50" s="50"/>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51" t="str">
        <f t="shared" si="3"/>
        <v/>
      </c>
      <c r="AI50" s="51" t="str">
        <f t="shared" si="4"/>
        <v/>
      </c>
      <c r="AJ50" s="51" t="str">
        <f t="shared" si="5"/>
        <v/>
      </c>
      <c r="AK50" s="78"/>
    </row>
    <row r="51" ht="15.75" customHeight="1">
      <c r="A51" s="50"/>
      <c r="B51" s="50"/>
      <c r="C51" s="76"/>
      <c r="D51" s="76"/>
      <c r="E51" s="76"/>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51"/>
      <c r="AI51" s="51"/>
      <c r="AJ51" s="51"/>
      <c r="AK51" s="14"/>
    </row>
    <row r="52" ht="15.75" customHeight="1">
      <c r="A52" s="50"/>
      <c r="B52" s="50"/>
      <c r="C52" s="76"/>
      <c r="D52" s="76"/>
      <c r="E52" s="76"/>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51"/>
      <c r="AI52" s="51"/>
      <c r="AJ52" s="51"/>
      <c r="AK52" s="14"/>
    </row>
    <row r="53" ht="15.75" customHeight="1">
      <c r="A53" s="50"/>
      <c r="B53" s="50"/>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51"/>
      <c r="AI53" s="51"/>
      <c r="AJ53" s="51"/>
      <c r="AK53" s="14"/>
    </row>
    <row r="54" ht="15.75" customHeight="1">
      <c r="A54" s="50"/>
      <c r="B54" s="50"/>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51"/>
      <c r="AI54" s="51"/>
      <c r="AJ54" s="51"/>
      <c r="AK54" s="14"/>
    </row>
    <row r="55" ht="15.75" customHeight="1">
      <c r="A55" s="50"/>
      <c r="B55" s="50"/>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51"/>
      <c r="AI55" s="51"/>
      <c r="AJ55" s="51"/>
      <c r="AK55" s="14"/>
    </row>
    <row r="56" ht="15.75" customHeight="1">
      <c r="A56" s="50"/>
      <c r="B56" s="50"/>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51"/>
      <c r="AI56" s="51"/>
      <c r="AJ56" s="51"/>
      <c r="AK56" s="14"/>
    </row>
    <row r="57" ht="15.75" customHeight="1">
      <c r="A57" s="50"/>
      <c r="B57" s="50"/>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51"/>
      <c r="AI57" s="51"/>
      <c r="AJ57" s="51"/>
      <c r="AK57" s="14"/>
    </row>
    <row r="58" ht="15.75" customHeight="1">
      <c r="A58" s="50"/>
      <c r="B58" s="50"/>
      <c r="C58" s="76"/>
      <c r="D58" s="76"/>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51"/>
      <c r="AI58" s="51"/>
      <c r="AJ58" s="51"/>
      <c r="AK58" s="14"/>
    </row>
    <row r="59" ht="15.75" customHeight="1">
      <c r="A59" s="50"/>
      <c r="B59" s="50"/>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51"/>
      <c r="AI59" s="51"/>
      <c r="AJ59" s="51"/>
      <c r="AK59" s="14"/>
    </row>
    <row r="60" ht="15.75" customHeight="1">
      <c r="A60" s="50"/>
      <c r="B60" s="50"/>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51"/>
      <c r="AI60" s="51"/>
      <c r="AJ60" s="51"/>
      <c r="AK60" s="14"/>
    </row>
    <row r="61" ht="15.75" customHeight="1">
      <c r="A61" s="50"/>
      <c r="B61" s="50"/>
      <c r="C61" s="76"/>
      <c r="D61" s="76"/>
      <c r="E61" s="76"/>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51"/>
      <c r="AI61" s="51"/>
      <c r="AJ61" s="51"/>
      <c r="AK61" s="14"/>
    </row>
    <row r="62" ht="15.75" customHeight="1">
      <c r="A62" s="50"/>
      <c r="B62" s="50"/>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51"/>
      <c r="AI62" s="51"/>
      <c r="AJ62" s="51"/>
      <c r="AK62" s="14"/>
    </row>
    <row r="63" ht="15.75" customHeight="1">
      <c r="A63" s="50"/>
      <c r="B63" s="50"/>
      <c r="C63" s="76"/>
      <c r="D63" s="76"/>
      <c r="E63" s="76"/>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51"/>
      <c r="AI63" s="51"/>
      <c r="AJ63" s="51"/>
      <c r="AK63" s="14"/>
    </row>
    <row r="64" ht="15.75" customHeight="1">
      <c r="A64" s="50"/>
      <c r="B64" s="50"/>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51"/>
      <c r="AI64" s="51"/>
      <c r="AJ64" s="51"/>
      <c r="AK64" s="14"/>
    </row>
    <row r="65" ht="15.75" customHeight="1">
      <c r="A65" s="50"/>
      <c r="B65" s="50"/>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51"/>
      <c r="AI65" s="51"/>
      <c r="AJ65" s="51"/>
      <c r="AK65" s="14"/>
    </row>
    <row r="66" ht="15.75" customHeight="1">
      <c r="A66" s="50"/>
      <c r="B66" s="50"/>
      <c r="C66" s="76"/>
      <c r="D66" s="76"/>
      <c r="E66" s="76"/>
      <c r="F66" s="76"/>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51"/>
      <c r="AI66" s="51"/>
      <c r="AJ66" s="51"/>
      <c r="AK66" s="14"/>
    </row>
    <row r="67" ht="15.75" customHeight="1">
      <c r="A67" s="50"/>
      <c r="B67" s="50"/>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51"/>
      <c r="AI67" s="51"/>
      <c r="AJ67" s="51"/>
      <c r="AK67" s="14"/>
    </row>
    <row r="68" ht="15.75" customHeight="1">
      <c r="A68" s="50"/>
      <c r="B68" s="50"/>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51"/>
      <c r="AI68" s="51"/>
      <c r="AJ68" s="51"/>
      <c r="AK68" s="14"/>
    </row>
    <row r="69" ht="15.75" customHeight="1">
      <c r="A69" s="50"/>
      <c r="B69" s="50"/>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51"/>
      <c r="AI69" s="51"/>
      <c r="AJ69" s="51"/>
      <c r="AK69" s="14"/>
    </row>
    <row r="70" ht="15.75" customHeight="1">
      <c r="A70" s="50"/>
      <c r="B70" s="50"/>
      <c r="C70" s="76"/>
      <c r="D70" s="76"/>
      <c r="E70" s="76"/>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51"/>
      <c r="AI70" s="51"/>
      <c r="AJ70" s="51"/>
      <c r="AK70" s="14"/>
    </row>
    <row r="71" ht="15.75" customHeight="1">
      <c r="A71" s="50"/>
      <c r="B71" s="50"/>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51"/>
      <c r="AI71" s="51"/>
      <c r="AJ71" s="51"/>
      <c r="AK71" s="14"/>
    </row>
    <row r="72" ht="15.75" customHeight="1">
      <c r="A72" s="50"/>
      <c r="B72" s="50"/>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51"/>
      <c r="AI72" s="51"/>
      <c r="AJ72" s="51"/>
      <c r="AK72" s="14"/>
    </row>
    <row r="73" ht="15.75" customHeight="1">
      <c r="A73" s="50"/>
      <c r="B73" s="50"/>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51"/>
      <c r="AI73" s="51"/>
      <c r="AJ73" s="51"/>
      <c r="AK73" s="14"/>
    </row>
    <row r="74" ht="15.75" customHeight="1">
      <c r="A74" s="50"/>
      <c r="B74" s="50"/>
      <c r="C74" s="76"/>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51"/>
      <c r="AI74" s="51"/>
      <c r="AJ74" s="51"/>
      <c r="AK74" s="14"/>
    </row>
    <row r="75" ht="15.75" customHeight="1">
      <c r="A75" s="50"/>
      <c r="B75" s="50"/>
      <c r="C75" s="76"/>
      <c r="D75" s="76"/>
      <c r="E75" s="76"/>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51"/>
      <c r="AI75" s="51"/>
      <c r="AJ75" s="51"/>
      <c r="AK75" s="14"/>
    </row>
    <row r="76" ht="15.75" customHeight="1">
      <c r="A76" s="50"/>
      <c r="B76" s="50"/>
      <c r="C76" s="76"/>
      <c r="D76" s="76"/>
      <c r="E76" s="76"/>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51"/>
      <c r="AI76" s="51"/>
      <c r="AJ76" s="51"/>
      <c r="AK76" s="14"/>
    </row>
    <row r="77" ht="15.75" customHeight="1">
      <c r="A77" s="50"/>
      <c r="B77" s="50"/>
      <c r="C77" s="76"/>
      <c r="D77" s="76"/>
      <c r="E77" s="76"/>
      <c r="F77" s="76"/>
      <c r="G77" s="76"/>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51"/>
      <c r="AI77" s="51"/>
      <c r="AJ77" s="51"/>
      <c r="AK77" s="14"/>
    </row>
    <row r="78" ht="15.75" customHeight="1">
      <c r="A78" s="50"/>
      <c r="B78" s="50"/>
      <c r="C78" s="76"/>
      <c r="D78" s="76"/>
      <c r="E78" s="76"/>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51"/>
      <c r="AI78" s="51"/>
      <c r="AJ78" s="51"/>
      <c r="AK78" s="14"/>
    </row>
    <row r="79" ht="15.75" customHeight="1">
      <c r="A79" s="50"/>
      <c r="B79" s="50"/>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51"/>
      <c r="AI79" s="51"/>
      <c r="AJ79" s="51"/>
      <c r="AK79" s="14"/>
    </row>
    <row r="80" ht="15.75" customHeight="1">
      <c r="A80" s="50"/>
      <c r="B80" s="50"/>
      <c r="C80" s="76"/>
      <c r="D80" s="76"/>
      <c r="E80" s="76"/>
      <c r="F80" s="76"/>
      <c r="G80" s="76"/>
      <c r="H80" s="76"/>
      <c r="I80" s="76"/>
      <c r="J80" s="76"/>
      <c r="K80" s="76"/>
      <c r="L80" s="76"/>
      <c r="M80" s="76"/>
      <c r="N80" s="76"/>
      <c r="O80" s="76"/>
      <c r="P80" s="76"/>
      <c r="Q80" s="76"/>
      <c r="R80" s="76"/>
      <c r="S80" s="76"/>
      <c r="T80" s="76"/>
      <c r="U80" s="76"/>
      <c r="V80" s="76"/>
      <c r="W80" s="76"/>
      <c r="X80" s="76"/>
      <c r="Y80" s="76"/>
      <c r="Z80" s="76"/>
      <c r="AA80" s="76"/>
      <c r="AB80" s="76"/>
      <c r="AC80" s="76"/>
      <c r="AD80" s="76"/>
      <c r="AE80" s="76"/>
      <c r="AF80" s="76"/>
      <c r="AG80" s="76"/>
      <c r="AH80" s="51"/>
      <c r="AI80" s="51"/>
      <c r="AJ80" s="51"/>
      <c r="AK80" s="14"/>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K1"/>
  </mergeCells>
  <conditionalFormatting sqref="C21:AG50">
    <cfRule type="expression" dxfId="5" priority="1">
      <formula>C$19&lt;&gt;1</formula>
    </cfRule>
  </conditionalFormatting>
  <conditionalFormatting sqref="C21:AG80">
    <cfRule type="expression" dxfId="0" priority="2">
      <formula>C21="C"</formula>
    </cfRule>
  </conditionalFormatting>
  <conditionalFormatting sqref="C21:AG80">
    <cfRule type="expression" dxfId="1" priority="3">
      <formula>C21="N"</formula>
    </cfRule>
  </conditionalFormatting>
  <conditionalFormatting sqref="C17:AG20">
    <cfRule type="expression" dxfId="6" priority="4">
      <formula>C$19=1</formula>
    </cfRule>
  </conditionalFormatting>
  <dataValidations>
    <dataValidation type="list" allowBlank="1" sqref="C21:AG80">
      <formula1>"C,N"</formula1>
    </dataValidation>
  </dataValidations>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24.0"/>
    <col customWidth="1" min="3" max="33" width="5.0"/>
    <col customWidth="1" min="34" max="36" width="13.0"/>
    <col customWidth="1" min="37" max="37" width="42.0"/>
  </cols>
  <sheetData>
    <row r="1" ht="30.0" customHeight="1">
      <c r="A1" s="64" t="s">
        <v>374</v>
      </c>
    </row>
    <row r="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ht="18.0" customHeight="1">
      <c r="A3" s="67" t="s">
        <v>10</v>
      </c>
      <c r="B3" s="51" t="str">
        <f>IFERROR(DANH_MUC_LOP!$B$10,"")</f>
        <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ht="18.0" customHeight="1">
      <c r="A4" s="67" t="s">
        <v>76</v>
      </c>
      <c r="B4" s="68">
        <f>IFERROR(DIEU_KHIEN!$B$4,"")</f>
        <v>46235</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row>
    <row r="5" ht="18.0" customHeight="1">
      <c r="A5" s="67" t="s">
        <v>19</v>
      </c>
      <c r="B5" s="51" t="str">
        <f>IFERROR(DANH_MUC_LOP!$C$10,"")</f>
        <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row>
    <row r="6" ht="18.0" customHeight="1">
      <c r="A6" s="67" t="s">
        <v>21</v>
      </c>
      <c r="B6" s="51" t="str">
        <f>IFERROR(DANH_MUC_LOP!$D$10,"")</f>
        <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row>
    <row r="7" ht="18.0" customHeight="1">
      <c r="A7" s="67" t="s">
        <v>22</v>
      </c>
      <c r="B7" s="51" t="str">
        <f>IFERROR(DANH_MUC_LOP!$E$10,"")</f>
        <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row>
    <row r="8" ht="18.0" customHeight="1">
      <c r="A8" s="67" t="s">
        <v>23</v>
      </c>
      <c r="B8" s="43" t="str">
        <f>IFERROR(DANH_MUC_LOP!$F$10,"")</f>
        <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row>
    <row r="9" ht="18.0" customHeight="1">
      <c r="A9" s="67" t="s">
        <v>195</v>
      </c>
      <c r="B9" s="51" t="str">
        <f>IFERROR(DANH_MUC_LOP!$G$10,"")</f>
        <v>Không</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row>
    <row r="10" ht="18.0" customHeight="1">
      <c r="A10" s="67" t="s">
        <v>197</v>
      </c>
      <c r="B10" s="51" t="str">
        <f>IFERROR(DANH_MUC_LOP!$H$10,"")</f>
        <v>Không</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row>
    <row r="11" ht="18.0" customHeight="1">
      <c r="A11" s="67" t="s">
        <v>199</v>
      </c>
      <c r="B11" s="51" t="str">
        <f>IFERROR(DANH_MUC_LOP!$I$10,"")</f>
        <v>Không</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row>
    <row r="12" ht="18.0" customHeight="1">
      <c r="A12" s="67" t="s">
        <v>201</v>
      </c>
      <c r="B12" s="51" t="str">
        <f>IFERROR(DANH_MUC_LOP!$J$10,"")</f>
        <v>Không</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row>
    <row r="13" ht="18.0" customHeight="1">
      <c r="A13" s="67" t="s">
        <v>203</v>
      </c>
      <c r="B13" s="51" t="str">
        <f>IFERROR(DANH_MUC_LOP!$K$10,"")</f>
        <v>Không</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row>
    <row r="14" ht="18.0" customHeight="1">
      <c r="A14" s="67" t="s">
        <v>205</v>
      </c>
      <c r="B14" s="51" t="str">
        <f>IFERROR(DANH_MUC_LOP!$L$10,"")</f>
        <v>Không</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ht="18.0" customHeight="1">
      <c r="A15" s="67" t="s">
        <v>206</v>
      </c>
      <c r="B15" s="51" t="str">
        <f>IFERROR(DANH_MUC_LOP!$M$10,"")</f>
        <v>Không</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row>
    <row r="16" ht="18.0" customHeight="1">
      <c r="A16" s="67" t="s">
        <v>209</v>
      </c>
      <c r="B16" s="51" t="str">
        <f>IFERROR(IF(DANH_MUC_LOP!$R$10&gt;0,DANH_MUC_LOP!$R$10,SUM(C19:AG19)),SUM(C19:AG19))</f>
        <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row>
    <row r="17">
      <c r="A17" s="4" t="s">
        <v>212</v>
      </c>
      <c r="B17" s="4"/>
      <c r="C17" s="71">
        <v>1.0</v>
      </c>
      <c r="D17" s="71">
        <v>2.0</v>
      </c>
      <c r="E17" s="71">
        <v>3.0</v>
      </c>
      <c r="F17" s="71">
        <v>4.0</v>
      </c>
      <c r="G17" s="71">
        <v>5.0</v>
      </c>
      <c r="H17" s="71">
        <v>6.0</v>
      </c>
      <c r="I17" s="71">
        <v>7.0</v>
      </c>
      <c r="J17" s="71">
        <v>8.0</v>
      </c>
      <c r="K17" s="71">
        <v>9.0</v>
      </c>
      <c r="L17" s="71">
        <v>10.0</v>
      </c>
      <c r="M17" s="71">
        <v>11.0</v>
      </c>
      <c r="N17" s="71">
        <v>12.0</v>
      </c>
      <c r="O17" s="71">
        <v>13.0</v>
      </c>
      <c r="P17" s="71">
        <v>14.0</v>
      </c>
      <c r="Q17" s="71">
        <v>15.0</v>
      </c>
      <c r="R17" s="71">
        <v>16.0</v>
      </c>
      <c r="S17" s="71">
        <v>17.0</v>
      </c>
      <c r="T17" s="71">
        <v>18.0</v>
      </c>
      <c r="U17" s="71">
        <v>19.0</v>
      </c>
      <c r="V17" s="71">
        <v>20.0</v>
      </c>
      <c r="W17" s="71">
        <v>21.0</v>
      </c>
      <c r="X17" s="71">
        <v>22.0</v>
      </c>
      <c r="Y17" s="71">
        <v>23.0</v>
      </c>
      <c r="Z17" s="71">
        <v>24.0</v>
      </c>
      <c r="AA17" s="71">
        <v>25.0</v>
      </c>
      <c r="AB17" s="71">
        <v>26.0</v>
      </c>
      <c r="AC17" s="71">
        <v>27.0</v>
      </c>
      <c r="AD17" s="71">
        <v>28.0</v>
      </c>
      <c r="AE17" s="71">
        <v>29.0</v>
      </c>
      <c r="AF17" s="71">
        <v>30.0</v>
      </c>
      <c r="AG17" s="71">
        <v>31.0</v>
      </c>
      <c r="AH17" s="72"/>
      <c r="AI17" s="72"/>
      <c r="AJ17" s="72"/>
      <c r="AK17" s="72"/>
    </row>
    <row r="18">
      <c r="A18" s="4" t="s">
        <v>5</v>
      </c>
      <c r="B18" s="4"/>
      <c r="C18" s="74">
        <f t="shared" ref="C18:AG18" si="1">IFERROR(IF(MONTH(DATE(YEAR($B$4),MONTH($B$4),C$17))=MONTH($B$4),DATE(YEAR($B$4),MONTH($B$4),C$17),""),"")</f>
        <v>46235</v>
      </c>
      <c r="D18" s="74">
        <f t="shared" si="1"/>
        <v>46236</v>
      </c>
      <c r="E18" s="74">
        <f t="shared" si="1"/>
        <v>46237</v>
      </c>
      <c r="F18" s="74">
        <f t="shared" si="1"/>
        <v>46238</v>
      </c>
      <c r="G18" s="74">
        <f t="shared" si="1"/>
        <v>46239</v>
      </c>
      <c r="H18" s="74">
        <f t="shared" si="1"/>
        <v>46240</v>
      </c>
      <c r="I18" s="74">
        <f t="shared" si="1"/>
        <v>46241</v>
      </c>
      <c r="J18" s="74">
        <f t="shared" si="1"/>
        <v>46242</v>
      </c>
      <c r="K18" s="74">
        <f t="shared" si="1"/>
        <v>46243</v>
      </c>
      <c r="L18" s="74">
        <f t="shared" si="1"/>
        <v>46244</v>
      </c>
      <c r="M18" s="74">
        <f t="shared" si="1"/>
        <v>46245</v>
      </c>
      <c r="N18" s="74">
        <f t="shared" si="1"/>
        <v>46246</v>
      </c>
      <c r="O18" s="74">
        <f t="shared" si="1"/>
        <v>46247</v>
      </c>
      <c r="P18" s="74">
        <f t="shared" si="1"/>
        <v>46248</v>
      </c>
      <c r="Q18" s="74">
        <f t="shared" si="1"/>
        <v>46249</v>
      </c>
      <c r="R18" s="74">
        <f t="shared" si="1"/>
        <v>46250</v>
      </c>
      <c r="S18" s="74">
        <f t="shared" si="1"/>
        <v>46251</v>
      </c>
      <c r="T18" s="74">
        <f t="shared" si="1"/>
        <v>46252</v>
      </c>
      <c r="U18" s="74">
        <f t="shared" si="1"/>
        <v>46253</v>
      </c>
      <c r="V18" s="74">
        <f t="shared" si="1"/>
        <v>46254</v>
      </c>
      <c r="W18" s="74">
        <f t="shared" si="1"/>
        <v>46255</v>
      </c>
      <c r="X18" s="74">
        <f t="shared" si="1"/>
        <v>46256</v>
      </c>
      <c r="Y18" s="74">
        <f t="shared" si="1"/>
        <v>46257</v>
      </c>
      <c r="Z18" s="74">
        <f t="shared" si="1"/>
        <v>46258</v>
      </c>
      <c r="AA18" s="74">
        <f t="shared" si="1"/>
        <v>46259</v>
      </c>
      <c r="AB18" s="74">
        <f t="shared" si="1"/>
        <v>46260</v>
      </c>
      <c r="AC18" s="74">
        <f t="shared" si="1"/>
        <v>46261</v>
      </c>
      <c r="AD18" s="74">
        <f t="shared" si="1"/>
        <v>46262</v>
      </c>
      <c r="AE18" s="74">
        <f t="shared" si="1"/>
        <v>46263</v>
      </c>
      <c r="AF18" s="74">
        <f t="shared" si="1"/>
        <v>46264</v>
      </c>
      <c r="AG18" s="74">
        <f t="shared" si="1"/>
        <v>46265</v>
      </c>
      <c r="AH18" s="72"/>
      <c r="AI18" s="72"/>
      <c r="AJ18" s="72"/>
      <c r="AK18" s="72"/>
    </row>
    <row r="19">
      <c r="A19" s="4" t="s">
        <v>215</v>
      </c>
      <c r="B19" s="4"/>
      <c r="C19" s="71">
        <f t="shared" ref="C19:AG19" si="2">IFERROR(IF(C18="","",IF(CHOOSE(WEEKDAY(C18,2),$B$9,$B$10,$B$11,$B$12,$B$13,$B$14,$B$15)="Có",1,0)),"")</f>
        <v>0</v>
      </c>
      <c r="D19" s="71">
        <f t="shared" si="2"/>
        <v>0</v>
      </c>
      <c r="E19" s="71">
        <f t="shared" si="2"/>
        <v>0</v>
      </c>
      <c r="F19" s="71">
        <f t="shared" si="2"/>
        <v>0</v>
      </c>
      <c r="G19" s="71">
        <f t="shared" si="2"/>
        <v>0</v>
      </c>
      <c r="H19" s="71">
        <f t="shared" si="2"/>
        <v>0</v>
      </c>
      <c r="I19" s="71">
        <f t="shared" si="2"/>
        <v>0</v>
      </c>
      <c r="J19" s="71">
        <f t="shared" si="2"/>
        <v>0</v>
      </c>
      <c r="K19" s="71">
        <f t="shared" si="2"/>
        <v>0</v>
      </c>
      <c r="L19" s="71">
        <f t="shared" si="2"/>
        <v>0</v>
      </c>
      <c r="M19" s="71">
        <f t="shared" si="2"/>
        <v>0</v>
      </c>
      <c r="N19" s="71">
        <f t="shared" si="2"/>
        <v>0</v>
      </c>
      <c r="O19" s="71">
        <f t="shared" si="2"/>
        <v>0</v>
      </c>
      <c r="P19" s="71">
        <f t="shared" si="2"/>
        <v>0</v>
      </c>
      <c r="Q19" s="71">
        <f t="shared" si="2"/>
        <v>0</v>
      </c>
      <c r="R19" s="71">
        <f t="shared" si="2"/>
        <v>0</v>
      </c>
      <c r="S19" s="71">
        <f t="shared" si="2"/>
        <v>0</v>
      </c>
      <c r="T19" s="71">
        <f t="shared" si="2"/>
        <v>0</v>
      </c>
      <c r="U19" s="71">
        <f t="shared" si="2"/>
        <v>0</v>
      </c>
      <c r="V19" s="71">
        <f t="shared" si="2"/>
        <v>0</v>
      </c>
      <c r="W19" s="71">
        <f t="shared" si="2"/>
        <v>0</v>
      </c>
      <c r="X19" s="71">
        <f t="shared" si="2"/>
        <v>0</v>
      </c>
      <c r="Y19" s="71">
        <f t="shared" si="2"/>
        <v>0</v>
      </c>
      <c r="Z19" s="71">
        <f t="shared" si="2"/>
        <v>0</v>
      </c>
      <c r="AA19" s="71">
        <f t="shared" si="2"/>
        <v>0</v>
      </c>
      <c r="AB19" s="71">
        <f t="shared" si="2"/>
        <v>0</v>
      </c>
      <c r="AC19" s="71">
        <f t="shared" si="2"/>
        <v>0</v>
      </c>
      <c r="AD19" s="71">
        <f t="shared" si="2"/>
        <v>0</v>
      </c>
      <c r="AE19" s="71">
        <f t="shared" si="2"/>
        <v>0</v>
      </c>
      <c r="AF19" s="71">
        <f t="shared" si="2"/>
        <v>0</v>
      </c>
      <c r="AG19" s="71">
        <f t="shared" si="2"/>
        <v>0</v>
      </c>
      <c r="AH19" s="72"/>
      <c r="AI19" s="72"/>
      <c r="AJ19" s="72"/>
      <c r="AK19" s="72"/>
    </row>
    <row r="20" ht="27.75" customHeight="1">
      <c r="A20" s="5" t="s">
        <v>14</v>
      </c>
      <c r="B20" s="5" t="s">
        <v>16</v>
      </c>
      <c r="C20" s="5" t="s">
        <v>216</v>
      </c>
      <c r="D20" s="5" t="s">
        <v>217</v>
      </c>
      <c r="E20" s="5" t="s">
        <v>218</v>
      </c>
      <c r="F20" s="5" t="s">
        <v>219</v>
      </c>
      <c r="G20" s="5" t="s">
        <v>220</v>
      </c>
      <c r="H20" s="5" t="s">
        <v>221</v>
      </c>
      <c r="I20" s="5" t="s">
        <v>222</v>
      </c>
      <c r="J20" s="5" t="s">
        <v>223</v>
      </c>
      <c r="K20" s="5" t="s">
        <v>224</v>
      </c>
      <c r="L20" s="5" t="s">
        <v>225</v>
      </c>
      <c r="M20" s="5" t="s">
        <v>226</v>
      </c>
      <c r="N20" s="5" t="s">
        <v>227</v>
      </c>
      <c r="O20" s="5" t="s">
        <v>228</v>
      </c>
      <c r="P20" s="5" t="s">
        <v>229</v>
      </c>
      <c r="Q20" s="5" t="s">
        <v>230</v>
      </c>
      <c r="R20" s="5" t="s">
        <v>231</v>
      </c>
      <c r="S20" s="5" t="s">
        <v>232</v>
      </c>
      <c r="T20" s="5" t="s">
        <v>233</v>
      </c>
      <c r="U20" s="5" t="s">
        <v>234</v>
      </c>
      <c r="V20" s="5" t="s">
        <v>235</v>
      </c>
      <c r="W20" s="5" t="s">
        <v>236</v>
      </c>
      <c r="X20" s="5" t="s">
        <v>237</v>
      </c>
      <c r="Y20" s="5" t="s">
        <v>238</v>
      </c>
      <c r="Z20" s="5" t="s">
        <v>239</v>
      </c>
      <c r="AA20" s="5" t="s">
        <v>240</v>
      </c>
      <c r="AB20" s="5" t="s">
        <v>241</v>
      </c>
      <c r="AC20" s="5" t="s">
        <v>242</v>
      </c>
      <c r="AD20" s="5" t="s">
        <v>243</v>
      </c>
      <c r="AE20" s="5" t="s">
        <v>244</v>
      </c>
      <c r="AF20" s="5" t="s">
        <v>246</v>
      </c>
      <c r="AG20" s="5" t="s">
        <v>247</v>
      </c>
      <c r="AH20" s="5" t="s">
        <v>248</v>
      </c>
      <c r="AI20" s="5" t="s">
        <v>249</v>
      </c>
      <c r="AJ20" s="5" t="s">
        <v>250</v>
      </c>
      <c r="AK20" s="5" t="s">
        <v>15</v>
      </c>
    </row>
    <row r="21" ht="15.75" customHeight="1">
      <c r="A21" s="50"/>
      <c r="B21" s="50"/>
      <c r="C21" s="76"/>
      <c r="D21" s="76"/>
      <c r="E21" s="76"/>
      <c r="F21" s="76"/>
      <c r="G21" s="76"/>
      <c r="H21" s="76"/>
      <c r="I21" s="7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51" t="str">
        <f t="shared" ref="AH21:AH50" si="3">IF(A21="","",COUNTIF(C21:AG21,"C"))</f>
        <v/>
      </c>
      <c r="AI21" s="51" t="str">
        <f t="shared" ref="AI21:AI50" si="4">IF(A21="","",COUNTIF(C21:AG21,"N")+COUNTIF(C21:AG21,"P"))</f>
        <v/>
      </c>
      <c r="AJ21" s="51" t="str">
        <f t="shared" ref="AJ21:AJ50" si="5">IF(A21="","",MAX(0,$B$16-AH21-AI21))</f>
        <v/>
      </c>
      <c r="AK21" s="78"/>
    </row>
    <row r="22" ht="15.75" customHeight="1">
      <c r="A22" s="50"/>
      <c r="B22" s="50"/>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6"/>
      <c r="AD22" s="76"/>
      <c r="AE22" s="76"/>
      <c r="AF22" s="76"/>
      <c r="AG22" s="76"/>
      <c r="AH22" s="51" t="str">
        <f t="shared" si="3"/>
        <v/>
      </c>
      <c r="AI22" s="51" t="str">
        <f t="shared" si="4"/>
        <v/>
      </c>
      <c r="AJ22" s="51" t="str">
        <f t="shared" si="5"/>
        <v/>
      </c>
      <c r="AK22" s="78"/>
    </row>
    <row r="23" ht="15.75" customHeight="1">
      <c r="A23" s="50"/>
      <c r="B23" s="50"/>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6"/>
      <c r="AD23" s="76"/>
      <c r="AE23" s="76"/>
      <c r="AF23" s="76"/>
      <c r="AG23" s="76"/>
      <c r="AH23" s="51" t="str">
        <f t="shared" si="3"/>
        <v/>
      </c>
      <c r="AI23" s="51" t="str">
        <f t="shared" si="4"/>
        <v/>
      </c>
      <c r="AJ23" s="51" t="str">
        <f t="shared" si="5"/>
        <v/>
      </c>
      <c r="AK23" s="78"/>
    </row>
    <row r="24" ht="15.75" customHeight="1">
      <c r="A24" s="50"/>
      <c r="B24" s="50"/>
      <c r="C24" s="76"/>
      <c r="D24" s="76"/>
      <c r="E24" s="76"/>
      <c r="F24" s="76"/>
      <c r="G24" s="76"/>
      <c r="H24" s="76"/>
      <c r="I24" s="76"/>
      <c r="J24" s="76"/>
      <c r="K24" s="76"/>
      <c r="L24" s="76"/>
      <c r="M24" s="76"/>
      <c r="N24" s="76"/>
      <c r="O24" s="76"/>
      <c r="P24" s="76"/>
      <c r="Q24" s="76"/>
      <c r="R24" s="76"/>
      <c r="S24" s="76"/>
      <c r="T24" s="76"/>
      <c r="U24" s="76"/>
      <c r="V24" s="76"/>
      <c r="W24" s="76"/>
      <c r="X24" s="76"/>
      <c r="Y24" s="76"/>
      <c r="Z24" s="76"/>
      <c r="AA24" s="76"/>
      <c r="AB24" s="76"/>
      <c r="AC24" s="76"/>
      <c r="AD24" s="76"/>
      <c r="AE24" s="76"/>
      <c r="AF24" s="76"/>
      <c r="AG24" s="76"/>
      <c r="AH24" s="51" t="str">
        <f t="shared" si="3"/>
        <v/>
      </c>
      <c r="AI24" s="51" t="str">
        <f t="shared" si="4"/>
        <v/>
      </c>
      <c r="AJ24" s="51" t="str">
        <f t="shared" si="5"/>
        <v/>
      </c>
      <c r="AK24" s="78"/>
    </row>
    <row r="25" ht="15.75" customHeight="1">
      <c r="A25" s="50"/>
      <c r="B25" s="50"/>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c r="AF25" s="76"/>
      <c r="AG25" s="76"/>
      <c r="AH25" s="51" t="str">
        <f t="shared" si="3"/>
        <v/>
      </c>
      <c r="AI25" s="51" t="str">
        <f t="shared" si="4"/>
        <v/>
      </c>
      <c r="AJ25" s="51" t="str">
        <f t="shared" si="5"/>
        <v/>
      </c>
      <c r="AK25" s="78"/>
    </row>
    <row r="26" ht="15.75" customHeight="1">
      <c r="A26" s="50"/>
      <c r="B26" s="50"/>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51" t="str">
        <f t="shared" si="3"/>
        <v/>
      </c>
      <c r="AI26" s="51" t="str">
        <f t="shared" si="4"/>
        <v/>
      </c>
      <c r="AJ26" s="51" t="str">
        <f t="shared" si="5"/>
        <v/>
      </c>
      <c r="AK26" s="78"/>
    </row>
    <row r="27" ht="15.75" customHeight="1">
      <c r="A27" s="50"/>
      <c r="B27" s="50"/>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51" t="str">
        <f t="shared" si="3"/>
        <v/>
      </c>
      <c r="AI27" s="51" t="str">
        <f t="shared" si="4"/>
        <v/>
      </c>
      <c r="AJ27" s="51" t="str">
        <f t="shared" si="5"/>
        <v/>
      </c>
      <c r="AK27" s="78"/>
    </row>
    <row r="28" ht="15.75" customHeight="1">
      <c r="A28" s="50"/>
      <c r="B28" s="50"/>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51" t="str">
        <f t="shared" si="3"/>
        <v/>
      </c>
      <c r="AI28" s="51" t="str">
        <f t="shared" si="4"/>
        <v/>
      </c>
      <c r="AJ28" s="51" t="str">
        <f t="shared" si="5"/>
        <v/>
      </c>
      <c r="AK28" s="78"/>
    </row>
    <row r="29" ht="15.75" customHeight="1">
      <c r="A29" s="50"/>
      <c r="B29" s="50"/>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c r="AF29" s="76"/>
      <c r="AG29" s="76"/>
      <c r="AH29" s="51" t="str">
        <f t="shared" si="3"/>
        <v/>
      </c>
      <c r="AI29" s="51" t="str">
        <f t="shared" si="4"/>
        <v/>
      </c>
      <c r="AJ29" s="51" t="str">
        <f t="shared" si="5"/>
        <v/>
      </c>
      <c r="AK29" s="78"/>
    </row>
    <row r="30" ht="15.75" customHeight="1">
      <c r="A30" s="50"/>
      <c r="B30" s="50"/>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6"/>
      <c r="AD30" s="76"/>
      <c r="AE30" s="76"/>
      <c r="AF30" s="76"/>
      <c r="AG30" s="76"/>
      <c r="AH30" s="51" t="str">
        <f t="shared" si="3"/>
        <v/>
      </c>
      <c r="AI30" s="51" t="str">
        <f t="shared" si="4"/>
        <v/>
      </c>
      <c r="AJ30" s="51" t="str">
        <f t="shared" si="5"/>
        <v/>
      </c>
      <c r="AK30" s="78"/>
    </row>
    <row r="31" ht="15.75" customHeight="1">
      <c r="A31" s="50"/>
      <c r="B31" s="50"/>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c r="AF31" s="76"/>
      <c r="AG31" s="76"/>
      <c r="AH31" s="51" t="str">
        <f t="shared" si="3"/>
        <v/>
      </c>
      <c r="AI31" s="51" t="str">
        <f t="shared" si="4"/>
        <v/>
      </c>
      <c r="AJ31" s="51" t="str">
        <f t="shared" si="5"/>
        <v/>
      </c>
      <c r="AK31" s="78"/>
    </row>
    <row r="32" ht="15.75" customHeight="1">
      <c r="A32" s="50"/>
      <c r="B32" s="50"/>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51" t="str">
        <f t="shared" si="3"/>
        <v/>
      </c>
      <c r="AI32" s="51" t="str">
        <f t="shared" si="4"/>
        <v/>
      </c>
      <c r="AJ32" s="51" t="str">
        <f t="shared" si="5"/>
        <v/>
      </c>
      <c r="AK32" s="78"/>
    </row>
    <row r="33" ht="15.75" customHeight="1">
      <c r="A33" s="50"/>
      <c r="B33" s="50"/>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c r="AF33" s="76"/>
      <c r="AG33" s="76"/>
      <c r="AH33" s="51" t="str">
        <f t="shared" si="3"/>
        <v/>
      </c>
      <c r="AI33" s="51" t="str">
        <f t="shared" si="4"/>
        <v/>
      </c>
      <c r="AJ33" s="51" t="str">
        <f t="shared" si="5"/>
        <v/>
      </c>
      <c r="AK33" s="78"/>
    </row>
    <row r="34" ht="15.75" customHeight="1">
      <c r="A34" s="50"/>
      <c r="B34" s="50"/>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c r="AF34" s="76"/>
      <c r="AG34" s="76"/>
      <c r="AH34" s="51" t="str">
        <f t="shared" si="3"/>
        <v/>
      </c>
      <c r="AI34" s="51" t="str">
        <f t="shared" si="4"/>
        <v/>
      </c>
      <c r="AJ34" s="51" t="str">
        <f t="shared" si="5"/>
        <v/>
      </c>
      <c r="AK34" s="78"/>
    </row>
    <row r="35" ht="15.75" customHeight="1">
      <c r="A35" s="50"/>
      <c r="B35" s="50"/>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6"/>
      <c r="AF35" s="76"/>
      <c r="AG35" s="76"/>
      <c r="AH35" s="51" t="str">
        <f t="shared" si="3"/>
        <v/>
      </c>
      <c r="AI35" s="51" t="str">
        <f t="shared" si="4"/>
        <v/>
      </c>
      <c r="AJ35" s="51" t="str">
        <f t="shared" si="5"/>
        <v/>
      </c>
      <c r="AK35" s="78"/>
    </row>
    <row r="36" ht="15.75" customHeight="1">
      <c r="A36" s="50"/>
      <c r="B36" s="50"/>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51" t="str">
        <f t="shared" si="3"/>
        <v/>
      </c>
      <c r="AI36" s="51" t="str">
        <f t="shared" si="4"/>
        <v/>
      </c>
      <c r="AJ36" s="51" t="str">
        <f t="shared" si="5"/>
        <v/>
      </c>
      <c r="AK36" s="78"/>
    </row>
    <row r="37" ht="15.75" customHeight="1">
      <c r="A37" s="50"/>
      <c r="B37" s="50"/>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51" t="str">
        <f t="shared" si="3"/>
        <v/>
      </c>
      <c r="AI37" s="51" t="str">
        <f t="shared" si="4"/>
        <v/>
      </c>
      <c r="AJ37" s="51" t="str">
        <f t="shared" si="5"/>
        <v/>
      </c>
      <c r="AK37" s="78"/>
    </row>
    <row r="38" ht="15.75" customHeight="1">
      <c r="A38" s="50"/>
      <c r="B38" s="50"/>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6"/>
      <c r="AC38" s="76"/>
      <c r="AD38" s="76"/>
      <c r="AE38" s="76"/>
      <c r="AF38" s="76"/>
      <c r="AG38" s="76"/>
      <c r="AH38" s="51" t="str">
        <f t="shared" si="3"/>
        <v/>
      </c>
      <c r="AI38" s="51" t="str">
        <f t="shared" si="4"/>
        <v/>
      </c>
      <c r="AJ38" s="51" t="str">
        <f t="shared" si="5"/>
        <v/>
      </c>
      <c r="AK38" s="78"/>
    </row>
    <row r="39" ht="15.75" customHeight="1">
      <c r="A39" s="50"/>
      <c r="B39" s="50"/>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51" t="str">
        <f t="shared" si="3"/>
        <v/>
      </c>
      <c r="AI39" s="51" t="str">
        <f t="shared" si="4"/>
        <v/>
      </c>
      <c r="AJ39" s="51" t="str">
        <f t="shared" si="5"/>
        <v/>
      </c>
      <c r="AK39" s="78"/>
    </row>
    <row r="40" ht="15.75" customHeight="1">
      <c r="A40" s="50"/>
      <c r="B40" s="50"/>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51" t="str">
        <f t="shared" si="3"/>
        <v/>
      </c>
      <c r="AI40" s="51" t="str">
        <f t="shared" si="4"/>
        <v/>
      </c>
      <c r="AJ40" s="51" t="str">
        <f t="shared" si="5"/>
        <v/>
      </c>
      <c r="AK40" s="78"/>
    </row>
    <row r="41" ht="15.75" customHeight="1">
      <c r="A41" s="50"/>
      <c r="B41" s="50"/>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c r="AF41" s="76"/>
      <c r="AG41" s="76"/>
      <c r="AH41" s="51" t="str">
        <f t="shared" si="3"/>
        <v/>
      </c>
      <c r="AI41" s="51" t="str">
        <f t="shared" si="4"/>
        <v/>
      </c>
      <c r="AJ41" s="51" t="str">
        <f t="shared" si="5"/>
        <v/>
      </c>
      <c r="AK41" s="78"/>
    </row>
    <row r="42" ht="15.75" customHeight="1">
      <c r="A42" s="50"/>
      <c r="B42" s="50"/>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51" t="str">
        <f t="shared" si="3"/>
        <v/>
      </c>
      <c r="AI42" s="51" t="str">
        <f t="shared" si="4"/>
        <v/>
      </c>
      <c r="AJ42" s="51" t="str">
        <f t="shared" si="5"/>
        <v/>
      </c>
      <c r="AK42" s="78"/>
    </row>
    <row r="43" ht="15.75" customHeight="1">
      <c r="A43" s="50"/>
      <c r="B43" s="50"/>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51" t="str">
        <f t="shared" si="3"/>
        <v/>
      </c>
      <c r="AI43" s="51" t="str">
        <f t="shared" si="4"/>
        <v/>
      </c>
      <c r="AJ43" s="51" t="str">
        <f t="shared" si="5"/>
        <v/>
      </c>
      <c r="AK43" s="78"/>
    </row>
    <row r="44" ht="15.75" customHeight="1">
      <c r="A44" s="50"/>
      <c r="B44" s="50"/>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51" t="str">
        <f t="shared" si="3"/>
        <v/>
      </c>
      <c r="AI44" s="51" t="str">
        <f t="shared" si="4"/>
        <v/>
      </c>
      <c r="AJ44" s="51" t="str">
        <f t="shared" si="5"/>
        <v/>
      </c>
      <c r="AK44" s="78"/>
    </row>
    <row r="45" ht="15.75" customHeight="1">
      <c r="A45" s="50"/>
      <c r="B45" s="50"/>
      <c r="C45" s="76"/>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51" t="str">
        <f t="shared" si="3"/>
        <v/>
      </c>
      <c r="AI45" s="51" t="str">
        <f t="shared" si="4"/>
        <v/>
      </c>
      <c r="AJ45" s="51" t="str">
        <f t="shared" si="5"/>
        <v/>
      </c>
      <c r="AK45" s="78"/>
    </row>
    <row r="46" ht="15.75" customHeight="1">
      <c r="A46" s="50"/>
      <c r="B46" s="50"/>
      <c r="C46" s="76"/>
      <c r="D46" s="76"/>
      <c r="E46" s="76"/>
      <c r="F46" s="76"/>
      <c r="G46" s="76"/>
      <c r="H46" s="76"/>
      <c r="I46" s="76"/>
      <c r="J46" s="76"/>
      <c r="K46" s="76"/>
      <c r="L46" s="76"/>
      <c r="M46" s="76"/>
      <c r="N46" s="76"/>
      <c r="O46" s="76"/>
      <c r="P46" s="76"/>
      <c r="Q46" s="76"/>
      <c r="R46" s="76"/>
      <c r="S46" s="76"/>
      <c r="T46" s="76"/>
      <c r="U46" s="76"/>
      <c r="V46" s="76"/>
      <c r="W46" s="76"/>
      <c r="X46" s="76"/>
      <c r="Y46" s="76"/>
      <c r="Z46" s="76"/>
      <c r="AA46" s="76"/>
      <c r="AB46" s="76"/>
      <c r="AC46" s="76"/>
      <c r="AD46" s="76"/>
      <c r="AE46" s="76"/>
      <c r="AF46" s="76"/>
      <c r="AG46" s="76"/>
      <c r="AH46" s="51" t="str">
        <f t="shared" si="3"/>
        <v/>
      </c>
      <c r="AI46" s="51" t="str">
        <f t="shared" si="4"/>
        <v/>
      </c>
      <c r="AJ46" s="51" t="str">
        <f t="shared" si="5"/>
        <v/>
      </c>
      <c r="AK46" s="78"/>
    </row>
    <row r="47" ht="15.75" customHeight="1">
      <c r="A47" s="50"/>
      <c r="B47" s="50"/>
      <c r="C47" s="76"/>
      <c r="D47" s="76"/>
      <c r="E47" s="76"/>
      <c r="F47" s="76"/>
      <c r="G47" s="76"/>
      <c r="H47" s="76"/>
      <c r="I47" s="76"/>
      <c r="J47" s="76"/>
      <c r="K47" s="76"/>
      <c r="L47" s="76"/>
      <c r="M47" s="76"/>
      <c r="N47" s="76"/>
      <c r="O47" s="76"/>
      <c r="P47" s="76"/>
      <c r="Q47" s="76"/>
      <c r="R47" s="76"/>
      <c r="S47" s="76"/>
      <c r="T47" s="76"/>
      <c r="U47" s="76"/>
      <c r="V47" s="76"/>
      <c r="W47" s="76"/>
      <c r="X47" s="76"/>
      <c r="Y47" s="76"/>
      <c r="Z47" s="76"/>
      <c r="AA47" s="76"/>
      <c r="AB47" s="76"/>
      <c r="AC47" s="76"/>
      <c r="AD47" s="76"/>
      <c r="AE47" s="76"/>
      <c r="AF47" s="76"/>
      <c r="AG47" s="76"/>
      <c r="AH47" s="51" t="str">
        <f t="shared" si="3"/>
        <v/>
      </c>
      <c r="AI47" s="51" t="str">
        <f t="shared" si="4"/>
        <v/>
      </c>
      <c r="AJ47" s="51" t="str">
        <f t="shared" si="5"/>
        <v/>
      </c>
      <c r="AK47" s="78"/>
    </row>
    <row r="48" ht="15.75" customHeight="1">
      <c r="A48" s="50"/>
      <c r="B48" s="50"/>
      <c r="C48" s="76"/>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51" t="str">
        <f t="shared" si="3"/>
        <v/>
      </c>
      <c r="AI48" s="51" t="str">
        <f t="shared" si="4"/>
        <v/>
      </c>
      <c r="AJ48" s="51" t="str">
        <f t="shared" si="5"/>
        <v/>
      </c>
      <c r="AK48" s="78"/>
    </row>
    <row r="49" ht="15.75" customHeight="1">
      <c r="A49" s="50"/>
      <c r="B49" s="50"/>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51" t="str">
        <f t="shared" si="3"/>
        <v/>
      </c>
      <c r="AI49" s="51" t="str">
        <f t="shared" si="4"/>
        <v/>
      </c>
      <c r="AJ49" s="51" t="str">
        <f t="shared" si="5"/>
        <v/>
      </c>
      <c r="AK49" s="78"/>
    </row>
    <row r="50" ht="15.75" customHeight="1">
      <c r="A50" s="50"/>
      <c r="B50" s="50"/>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51" t="str">
        <f t="shared" si="3"/>
        <v/>
      </c>
      <c r="AI50" s="51" t="str">
        <f t="shared" si="4"/>
        <v/>
      </c>
      <c r="AJ50" s="51" t="str">
        <f t="shared" si="5"/>
        <v/>
      </c>
      <c r="AK50" s="78"/>
    </row>
    <row r="51" ht="15.75" customHeight="1">
      <c r="A51" s="50"/>
      <c r="B51" s="50"/>
      <c r="C51" s="76"/>
      <c r="D51" s="76"/>
      <c r="E51" s="76"/>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51"/>
      <c r="AI51" s="51"/>
      <c r="AJ51" s="51"/>
      <c r="AK51" s="14"/>
    </row>
    <row r="52" ht="15.75" customHeight="1">
      <c r="A52" s="50"/>
      <c r="B52" s="50"/>
      <c r="C52" s="76"/>
      <c r="D52" s="76"/>
      <c r="E52" s="76"/>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51"/>
      <c r="AI52" s="51"/>
      <c r="AJ52" s="51"/>
      <c r="AK52" s="14"/>
    </row>
    <row r="53" ht="15.75" customHeight="1">
      <c r="A53" s="50"/>
      <c r="B53" s="50"/>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51"/>
      <c r="AI53" s="51"/>
      <c r="AJ53" s="51"/>
      <c r="AK53" s="14"/>
    </row>
    <row r="54" ht="15.75" customHeight="1">
      <c r="A54" s="50"/>
      <c r="B54" s="50"/>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51"/>
      <c r="AI54" s="51"/>
      <c r="AJ54" s="51"/>
      <c r="AK54" s="14"/>
    </row>
    <row r="55" ht="15.75" customHeight="1">
      <c r="A55" s="50"/>
      <c r="B55" s="50"/>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51"/>
      <c r="AI55" s="51"/>
      <c r="AJ55" s="51"/>
      <c r="AK55" s="14"/>
    </row>
    <row r="56" ht="15.75" customHeight="1">
      <c r="A56" s="50"/>
      <c r="B56" s="50"/>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51"/>
      <c r="AI56" s="51"/>
      <c r="AJ56" s="51"/>
      <c r="AK56" s="14"/>
    </row>
    <row r="57" ht="15.75" customHeight="1">
      <c r="A57" s="50"/>
      <c r="B57" s="50"/>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51"/>
      <c r="AI57" s="51"/>
      <c r="AJ57" s="51"/>
      <c r="AK57" s="14"/>
    </row>
    <row r="58" ht="15.75" customHeight="1">
      <c r="A58" s="50"/>
      <c r="B58" s="50"/>
      <c r="C58" s="76"/>
      <c r="D58" s="76"/>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51"/>
      <c r="AI58" s="51"/>
      <c r="AJ58" s="51"/>
      <c r="AK58" s="14"/>
    </row>
    <row r="59" ht="15.75" customHeight="1">
      <c r="A59" s="50"/>
      <c r="B59" s="50"/>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51"/>
      <c r="AI59" s="51"/>
      <c r="AJ59" s="51"/>
      <c r="AK59" s="14"/>
    </row>
    <row r="60" ht="15.75" customHeight="1">
      <c r="A60" s="50"/>
      <c r="B60" s="50"/>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51"/>
      <c r="AI60" s="51"/>
      <c r="AJ60" s="51"/>
      <c r="AK60" s="14"/>
    </row>
    <row r="61" ht="15.75" customHeight="1">
      <c r="A61" s="50"/>
      <c r="B61" s="50"/>
      <c r="C61" s="76"/>
      <c r="D61" s="76"/>
      <c r="E61" s="76"/>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51"/>
      <c r="AI61" s="51"/>
      <c r="AJ61" s="51"/>
      <c r="AK61" s="14"/>
    </row>
    <row r="62" ht="15.75" customHeight="1">
      <c r="A62" s="50"/>
      <c r="B62" s="50"/>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51"/>
      <c r="AI62" s="51"/>
      <c r="AJ62" s="51"/>
      <c r="AK62" s="14"/>
    </row>
    <row r="63" ht="15.75" customHeight="1">
      <c r="A63" s="50"/>
      <c r="B63" s="50"/>
      <c r="C63" s="76"/>
      <c r="D63" s="76"/>
      <c r="E63" s="76"/>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51"/>
      <c r="AI63" s="51"/>
      <c r="AJ63" s="51"/>
      <c r="AK63" s="14"/>
    </row>
    <row r="64" ht="15.75" customHeight="1">
      <c r="A64" s="50"/>
      <c r="B64" s="50"/>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51"/>
      <c r="AI64" s="51"/>
      <c r="AJ64" s="51"/>
      <c r="AK64" s="14"/>
    </row>
    <row r="65" ht="15.75" customHeight="1">
      <c r="A65" s="50"/>
      <c r="B65" s="50"/>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51"/>
      <c r="AI65" s="51"/>
      <c r="AJ65" s="51"/>
      <c r="AK65" s="14"/>
    </row>
    <row r="66" ht="15.75" customHeight="1">
      <c r="A66" s="50"/>
      <c r="B66" s="50"/>
      <c r="C66" s="76"/>
      <c r="D66" s="76"/>
      <c r="E66" s="76"/>
      <c r="F66" s="76"/>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51"/>
      <c r="AI66" s="51"/>
      <c r="AJ66" s="51"/>
      <c r="AK66" s="14"/>
    </row>
    <row r="67" ht="15.75" customHeight="1">
      <c r="A67" s="50"/>
      <c r="B67" s="50"/>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51"/>
      <c r="AI67" s="51"/>
      <c r="AJ67" s="51"/>
      <c r="AK67" s="14"/>
    </row>
    <row r="68" ht="15.75" customHeight="1">
      <c r="A68" s="50"/>
      <c r="B68" s="50"/>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51"/>
      <c r="AI68" s="51"/>
      <c r="AJ68" s="51"/>
      <c r="AK68" s="14"/>
    </row>
    <row r="69" ht="15.75" customHeight="1">
      <c r="A69" s="50"/>
      <c r="B69" s="50"/>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51"/>
      <c r="AI69" s="51"/>
      <c r="AJ69" s="51"/>
      <c r="AK69" s="14"/>
    </row>
    <row r="70" ht="15.75" customHeight="1">
      <c r="A70" s="50"/>
      <c r="B70" s="50"/>
      <c r="C70" s="76"/>
      <c r="D70" s="76"/>
      <c r="E70" s="76"/>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51"/>
      <c r="AI70" s="51"/>
      <c r="AJ70" s="51"/>
      <c r="AK70" s="14"/>
    </row>
    <row r="71" ht="15.75" customHeight="1">
      <c r="A71" s="50"/>
      <c r="B71" s="50"/>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51"/>
      <c r="AI71" s="51"/>
      <c r="AJ71" s="51"/>
      <c r="AK71" s="14"/>
    </row>
    <row r="72" ht="15.75" customHeight="1">
      <c r="A72" s="50"/>
      <c r="B72" s="50"/>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51"/>
      <c r="AI72" s="51"/>
      <c r="AJ72" s="51"/>
      <c r="AK72" s="14"/>
    </row>
    <row r="73" ht="15.75" customHeight="1">
      <c r="A73" s="50"/>
      <c r="B73" s="50"/>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51"/>
      <c r="AI73" s="51"/>
      <c r="AJ73" s="51"/>
      <c r="AK73" s="14"/>
    </row>
    <row r="74" ht="15.75" customHeight="1">
      <c r="A74" s="50"/>
      <c r="B74" s="50"/>
      <c r="C74" s="76"/>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51"/>
      <c r="AI74" s="51"/>
      <c r="AJ74" s="51"/>
      <c r="AK74" s="14"/>
    </row>
    <row r="75" ht="15.75" customHeight="1">
      <c r="A75" s="50"/>
      <c r="B75" s="50"/>
      <c r="C75" s="76"/>
      <c r="D75" s="76"/>
      <c r="E75" s="76"/>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51"/>
      <c r="AI75" s="51"/>
      <c r="AJ75" s="51"/>
      <c r="AK75" s="14"/>
    </row>
    <row r="76" ht="15.75" customHeight="1">
      <c r="A76" s="50"/>
      <c r="B76" s="50"/>
      <c r="C76" s="76"/>
      <c r="D76" s="76"/>
      <c r="E76" s="76"/>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51"/>
      <c r="AI76" s="51"/>
      <c r="AJ76" s="51"/>
      <c r="AK76" s="14"/>
    </row>
    <row r="77" ht="15.75" customHeight="1">
      <c r="A77" s="50"/>
      <c r="B77" s="50"/>
      <c r="C77" s="76"/>
      <c r="D77" s="76"/>
      <c r="E77" s="76"/>
      <c r="F77" s="76"/>
      <c r="G77" s="76"/>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51"/>
      <c r="AI77" s="51"/>
      <c r="AJ77" s="51"/>
      <c r="AK77" s="14"/>
    </row>
    <row r="78" ht="15.75" customHeight="1">
      <c r="A78" s="50"/>
      <c r="B78" s="50"/>
      <c r="C78" s="76"/>
      <c r="D78" s="76"/>
      <c r="E78" s="76"/>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51"/>
      <c r="AI78" s="51"/>
      <c r="AJ78" s="51"/>
      <c r="AK78" s="14"/>
    </row>
    <row r="79" ht="15.75" customHeight="1">
      <c r="A79" s="50"/>
      <c r="B79" s="50"/>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51"/>
      <c r="AI79" s="51"/>
      <c r="AJ79" s="51"/>
      <c r="AK79" s="14"/>
    </row>
    <row r="80" ht="15.75" customHeight="1">
      <c r="A80" s="50"/>
      <c r="B80" s="50"/>
      <c r="C80" s="76"/>
      <c r="D80" s="76"/>
      <c r="E80" s="76"/>
      <c r="F80" s="76"/>
      <c r="G80" s="76"/>
      <c r="H80" s="76"/>
      <c r="I80" s="76"/>
      <c r="J80" s="76"/>
      <c r="K80" s="76"/>
      <c r="L80" s="76"/>
      <c r="M80" s="76"/>
      <c r="N80" s="76"/>
      <c r="O80" s="76"/>
      <c r="P80" s="76"/>
      <c r="Q80" s="76"/>
      <c r="R80" s="76"/>
      <c r="S80" s="76"/>
      <c r="T80" s="76"/>
      <c r="U80" s="76"/>
      <c r="V80" s="76"/>
      <c r="W80" s="76"/>
      <c r="X80" s="76"/>
      <c r="Y80" s="76"/>
      <c r="Z80" s="76"/>
      <c r="AA80" s="76"/>
      <c r="AB80" s="76"/>
      <c r="AC80" s="76"/>
      <c r="AD80" s="76"/>
      <c r="AE80" s="76"/>
      <c r="AF80" s="76"/>
      <c r="AG80" s="76"/>
      <c r="AH80" s="51"/>
      <c r="AI80" s="51"/>
      <c r="AJ80" s="51"/>
      <c r="AK80" s="14"/>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K1"/>
  </mergeCells>
  <conditionalFormatting sqref="C21:AG50">
    <cfRule type="expression" dxfId="5" priority="1">
      <formula>C$19&lt;&gt;1</formula>
    </cfRule>
  </conditionalFormatting>
  <conditionalFormatting sqref="C21:AG80">
    <cfRule type="expression" dxfId="0" priority="2">
      <formula>C21="C"</formula>
    </cfRule>
  </conditionalFormatting>
  <conditionalFormatting sqref="C21:AG80">
    <cfRule type="expression" dxfId="1" priority="3">
      <formula>C21="N"</formula>
    </cfRule>
  </conditionalFormatting>
  <conditionalFormatting sqref="C17:AG20">
    <cfRule type="expression" dxfId="6" priority="4">
      <formula>C$19=1</formula>
    </cfRule>
  </conditionalFormatting>
  <dataValidations>
    <dataValidation type="list" allowBlank="1" sqref="C21:AG80">
      <formula1>"C,N"</formula1>
    </dataValidation>
  </dataValidations>
  <printOptions/>
  <pageMargins bottom="0.75" footer="0.0" header="0.0" left="0.7" right="0.7" top="0.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24.0"/>
    <col customWidth="1" min="3" max="33" width="5.0"/>
    <col customWidth="1" min="34" max="36" width="13.0"/>
    <col customWidth="1" min="37" max="37" width="42.0"/>
  </cols>
  <sheetData>
    <row r="1" ht="30.0" customHeight="1">
      <c r="A1" s="64" t="s">
        <v>375</v>
      </c>
    </row>
    <row r="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ht="18.0" customHeight="1">
      <c r="A3" s="67" t="s">
        <v>10</v>
      </c>
      <c r="B3" s="51" t="str">
        <f>IFERROR(DANH_MUC_LOP!$B$11,"")</f>
        <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ht="18.0" customHeight="1">
      <c r="A4" s="67" t="s">
        <v>76</v>
      </c>
      <c r="B4" s="68">
        <f>IFERROR(DIEU_KHIEN!$B$4,"")</f>
        <v>46235</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row>
    <row r="5" ht="18.0" customHeight="1">
      <c r="A5" s="67" t="s">
        <v>19</v>
      </c>
      <c r="B5" s="51" t="str">
        <f>IFERROR(DANH_MUC_LOP!$C$11,"")</f>
        <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row>
    <row r="6" ht="18.0" customHeight="1">
      <c r="A6" s="67" t="s">
        <v>21</v>
      </c>
      <c r="B6" s="51" t="str">
        <f>IFERROR(DANH_MUC_LOP!$D$11,"")</f>
        <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row>
    <row r="7" ht="18.0" customHeight="1">
      <c r="A7" s="67" t="s">
        <v>22</v>
      </c>
      <c r="B7" s="51" t="str">
        <f>IFERROR(DANH_MUC_LOP!$E$11,"")</f>
        <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row>
    <row r="8" ht="18.0" customHeight="1">
      <c r="A8" s="67" t="s">
        <v>23</v>
      </c>
      <c r="B8" s="43" t="str">
        <f>IFERROR(DANH_MUC_LOP!$F$11,"")</f>
        <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row>
    <row r="9" ht="18.0" customHeight="1">
      <c r="A9" s="67" t="s">
        <v>195</v>
      </c>
      <c r="B9" s="51" t="str">
        <f>IFERROR(DANH_MUC_LOP!$G$11,"")</f>
        <v>Không</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row>
    <row r="10" ht="18.0" customHeight="1">
      <c r="A10" s="67" t="s">
        <v>197</v>
      </c>
      <c r="B10" s="51" t="str">
        <f>IFERROR(DANH_MUC_LOP!$H$11,"")</f>
        <v>Không</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row>
    <row r="11" ht="18.0" customHeight="1">
      <c r="A11" s="67" t="s">
        <v>199</v>
      </c>
      <c r="B11" s="51" t="str">
        <f>IFERROR(DANH_MUC_LOP!$I$11,"")</f>
        <v>Không</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row>
    <row r="12" ht="18.0" customHeight="1">
      <c r="A12" s="67" t="s">
        <v>201</v>
      </c>
      <c r="B12" s="51" t="str">
        <f>IFERROR(DANH_MUC_LOP!$J$11,"")</f>
        <v>Không</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row>
    <row r="13" ht="18.0" customHeight="1">
      <c r="A13" s="67" t="s">
        <v>203</v>
      </c>
      <c r="B13" s="51" t="str">
        <f>IFERROR(DANH_MUC_LOP!$K$11,"")</f>
        <v>Không</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row>
    <row r="14" ht="18.0" customHeight="1">
      <c r="A14" s="67" t="s">
        <v>205</v>
      </c>
      <c r="B14" s="51" t="str">
        <f>IFERROR(DANH_MUC_LOP!$L$11,"")</f>
        <v>Không</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ht="18.0" customHeight="1">
      <c r="A15" s="67" t="s">
        <v>206</v>
      </c>
      <c r="B15" s="51" t="str">
        <f>IFERROR(DANH_MUC_LOP!$M$11,"")</f>
        <v>Không</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row>
    <row r="16" ht="18.0" customHeight="1">
      <c r="A16" s="67" t="s">
        <v>209</v>
      </c>
      <c r="B16" s="51" t="str">
        <f>IFERROR(IF(DANH_MUC_LOP!$R$11&gt;0,DANH_MUC_LOP!$R$11,SUM(C19:AG19)),SUM(C19:AG19))</f>
        <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row>
    <row r="17">
      <c r="A17" s="4" t="s">
        <v>212</v>
      </c>
      <c r="B17" s="4"/>
      <c r="C17" s="71">
        <v>1.0</v>
      </c>
      <c r="D17" s="71">
        <v>2.0</v>
      </c>
      <c r="E17" s="71">
        <v>3.0</v>
      </c>
      <c r="F17" s="71">
        <v>4.0</v>
      </c>
      <c r="G17" s="71">
        <v>5.0</v>
      </c>
      <c r="H17" s="71">
        <v>6.0</v>
      </c>
      <c r="I17" s="71">
        <v>7.0</v>
      </c>
      <c r="J17" s="71">
        <v>8.0</v>
      </c>
      <c r="K17" s="71">
        <v>9.0</v>
      </c>
      <c r="L17" s="71">
        <v>10.0</v>
      </c>
      <c r="M17" s="71">
        <v>11.0</v>
      </c>
      <c r="N17" s="71">
        <v>12.0</v>
      </c>
      <c r="O17" s="71">
        <v>13.0</v>
      </c>
      <c r="P17" s="71">
        <v>14.0</v>
      </c>
      <c r="Q17" s="71">
        <v>15.0</v>
      </c>
      <c r="R17" s="71">
        <v>16.0</v>
      </c>
      <c r="S17" s="71">
        <v>17.0</v>
      </c>
      <c r="T17" s="71">
        <v>18.0</v>
      </c>
      <c r="U17" s="71">
        <v>19.0</v>
      </c>
      <c r="V17" s="71">
        <v>20.0</v>
      </c>
      <c r="W17" s="71">
        <v>21.0</v>
      </c>
      <c r="X17" s="71">
        <v>22.0</v>
      </c>
      <c r="Y17" s="71">
        <v>23.0</v>
      </c>
      <c r="Z17" s="71">
        <v>24.0</v>
      </c>
      <c r="AA17" s="71">
        <v>25.0</v>
      </c>
      <c r="AB17" s="71">
        <v>26.0</v>
      </c>
      <c r="AC17" s="71">
        <v>27.0</v>
      </c>
      <c r="AD17" s="71">
        <v>28.0</v>
      </c>
      <c r="AE17" s="71">
        <v>29.0</v>
      </c>
      <c r="AF17" s="71">
        <v>30.0</v>
      </c>
      <c r="AG17" s="71">
        <v>31.0</v>
      </c>
      <c r="AH17" s="72"/>
      <c r="AI17" s="72"/>
      <c r="AJ17" s="72"/>
      <c r="AK17" s="72"/>
    </row>
    <row r="18">
      <c r="A18" s="4" t="s">
        <v>5</v>
      </c>
      <c r="B18" s="4"/>
      <c r="C18" s="74">
        <f t="shared" ref="C18:AG18" si="1">IFERROR(IF(MONTH(DATE(YEAR($B$4),MONTH($B$4),C$17))=MONTH($B$4),DATE(YEAR($B$4),MONTH($B$4),C$17),""),"")</f>
        <v>46235</v>
      </c>
      <c r="D18" s="74">
        <f t="shared" si="1"/>
        <v>46236</v>
      </c>
      <c r="E18" s="74">
        <f t="shared" si="1"/>
        <v>46237</v>
      </c>
      <c r="F18" s="74">
        <f t="shared" si="1"/>
        <v>46238</v>
      </c>
      <c r="G18" s="74">
        <f t="shared" si="1"/>
        <v>46239</v>
      </c>
      <c r="H18" s="74">
        <f t="shared" si="1"/>
        <v>46240</v>
      </c>
      <c r="I18" s="74">
        <f t="shared" si="1"/>
        <v>46241</v>
      </c>
      <c r="J18" s="74">
        <f t="shared" si="1"/>
        <v>46242</v>
      </c>
      <c r="K18" s="74">
        <f t="shared" si="1"/>
        <v>46243</v>
      </c>
      <c r="L18" s="74">
        <f t="shared" si="1"/>
        <v>46244</v>
      </c>
      <c r="M18" s="74">
        <f t="shared" si="1"/>
        <v>46245</v>
      </c>
      <c r="N18" s="74">
        <f t="shared" si="1"/>
        <v>46246</v>
      </c>
      <c r="O18" s="74">
        <f t="shared" si="1"/>
        <v>46247</v>
      </c>
      <c r="P18" s="74">
        <f t="shared" si="1"/>
        <v>46248</v>
      </c>
      <c r="Q18" s="74">
        <f t="shared" si="1"/>
        <v>46249</v>
      </c>
      <c r="R18" s="74">
        <f t="shared" si="1"/>
        <v>46250</v>
      </c>
      <c r="S18" s="74">
        <f t="shared" si="1"/>
        <v>46251</v>
      </c>
      <c r="T18" s="74">
        <f t="shared" si="1"/>
        <v>46252</v>
      </c>
      <c r="U18" s="74">
        <f t="shared" si="1"/>
        <v>46253</v>
      </c>
      <c r="V18" s="74">
        <f t="shared" si="1"/>
        <v>46254</v>
      </c>
      <c r="W18" s="74">
        <f t="shared" si="1"/>
        <v>46255</v>
      </c>
      <c r="X18" s="74">
        <f t="shared" si="1"/>
        <v>46256</v>
      </c>
      <c r="Y18" s="74">
        <f t="shared" si="1"/>
        <v>46257</v>
      </c>
      <c r="Z18" s="74">
        <f t="shared" si="1"/>
        <v>46258</v>
      </c>
      <c r="AA18" s="74">
        <f t="shared" si="1"/>
        <v>46259</v>
      </c>
      <c r="AB18" s="74">
        <f t="shared" si="1"/>
        <v>46260</v>
      </c>
      <c r="AC18" s="74">
        <f t="shared" si="1"/>
        <v>46261</v>
      </c>
      <c r="AD18" s="74">
        <f t="shared" si="1"/>
        <v>46262</v>
      </c>
      <c r="AE18" s="74">
        <f t="shared" si="1"/>
        <v>46263</v>
      </c>
      <c r="AF18" s="74">
        <f t="shared" si="1"/>
        <v>46264</v>
      </c>
      <c r="AG18" s="74">
        <f t="shared" si="1"/>
        <v>46265</v>
      </c>
      <c r="AH18" s="72"/>
      <c r="AI18" s="72"/>
      <c r="AJ18" s="72"/>
      <c r="AK18" s="72"/>
    </row>
    <row r="19">
      <c r="A19" s="4" t="s">
        <v>215</v>
      </c>
      <c r="B19" s="4"/>
      <c r="C19" s="71">
        <f t="shared" ref="C19:AG19" si="2">IFERROR(IF(C18="","",IF(CHOOSE(WEEKDAY(C18,2),$B$9,$B$10,$B$11,$B$12,$B$13,$B$14,$B$15)="Có",1,0)),"")</f>
        <v>0</v>
      </c>
      <c r="D19" s="71">
        <f t="shared" si="2"/>
        <v>0</v>
      </c>
      <c r="E19" s="71">
        <f t="shared" si="2"/>
        <v>0</v>
      </c>
      <c r="F19" s="71">
        <f t="shared" si="2"/>
        <v>0</v>
      </c>
      <c r="G19" s="71">
        <f t="shared" si="2"/>
        <v>0</v>
      </c>
      <c r="H19" s="71">
        <f t="shared" si="2"/>
        <v>0</v>
      </c>
      <c r="I19" s="71">
        <f t="shared" si="2"/>
        <v>0</v>
      </c>
      <c r="J19" s="71">
        <f t="shared" si="2"/>
        <v>0</v>
      </c>
      <c r="K19" s="71">
        <f t="shared" si="2"/>
        <v>0</v>
      </c>
      <c r="L19" s="71">
        <f t="shared" si="2"/>
        <v>0</v>
      </c>
      <c r="M19" s="71">
        <f t="shared" si="2"/>
        <v>0</v>
      </c>
      <c r="N19" s="71">
        <f t="shared" si="2"/>
        <v>0</v>
      </c>
      <c r="O19" s="71">
        <f t="shared" si="2"/>
        <v>0</v>
      </c>
      <c r="P19" s="71">
        <f t="shared" si="2"/>
        <v>0</v>
      </c>
      <c r="Q19" s="71">
        <f t="shared" si="2"/>
        <v>0</v>
      </c>
      <c r="R19" s="71">
        <f t="shared" si="2"/>
        <v>0</v>
      </c>
      <c r="S19" s="71">
        <f t="shared" si="2"/>
        <v>0</v>
      </c>
      <c r="T19" s="71">
        <f t="shared" si="2"/>
        <v>0</v>
      </c>
      <c r="U19" s="71">
        <f t="shared" si="2"/>
        <v>0</v>
      </c>
      <c r="V19" s="71">
        <f t="shared" si="2"/>
        <v>0</v>
      </c>
      <c r="W19" s="71">
        <f t="shared" si="2"/>
        <v>0</v>
      </c>
      <c r="X19" s="71">
        <f t="shared" si="2"/>
        <v>0</v>
      </c>
      <c r="Y19" s="71">
        <f t="shared" si="2"/>
        <v>0</v>
      </c>
      <c r="Z19" s="71">
        <f t="shared" si="2"/>
        <v>0</v>
      </c>
      <c r="AA19" s="71">
        <f t="shared" si="2"/>
        <v>0</v>
      </c>
      <c r="AB19" s="71">
        <f t="shared" si="2"/>
        <v>0</v>
      </c>
      <c r="AC19" s="71">
        <f t="shared" si="2"/>
        <v>0</v>
      </c>
      <c r="AD19" s="71">
        <f t="shared" si="2"/>
        <v>0</v>
      </c>
      <c r="AE19" s="71">
        <f t="shared" si="2"/>
        <v>0</v>
      </c>
      <c r="AF19" s="71">
        <f t="shared" si="2"/>
        <v>0</v>
      </c>
      <c r="AG19" s="71">
        <f t="shared" si="2"/>
        <v>0</v>
      </c>
      <c r="AH19" s="72"/>
      <c r="AI19" s="72"/>
      <c r="AJ19" s="72"/>
      <c r="AK19" s="72"/>
    </row>
    <row r="20" ht="27.75" customHeight="1">
      <c r="A20" s="5" t="s">
        <v>14</v>
      </c>
      <c r="B20" s="5" t="s">
        <v>16</v>
      </c>
      <c r="C20" s="5" t="s">
        <v>216</v>
      </c>
      <c r="D20" s="5" t="s">
        <v>217</v>
      </c>
      <c r="E20" s="5" t="s">
        <v>218</v>
      </c>
      <c r="F20" s="5" t="s">
        <v>219</v>
      </c>
      <c r="G20" s="5" t="s">
        <v>220</v>
      </c>
      <c r="H20" s="5" t="s">
        <v>221</v>
      </c>
      <c r="I20" s="5" t="s">
        <v>222</v>
      </c>
      <c r="J20" s="5" t="s">
        <v>223</v>
      </c>
      <c r="K20" s="5" t="s">
        <v>224</v>
      </c>
      <c r="L20" s="5" t="s">
        <v>225</v>
      </c>
      <c r="M20" s="5" t="s">
        <v>226</v>
      </c>
      <c r="N20" s="5" t="s">
        <v>227</v>
      </c>
      <c r="O20" s="5" t="s">
        <v>228</v>
      </c>
      <c r="P20" s="5" t="s">
        <v>229</v>
      </c>
      <c r="Q20" s="5" t="s">
        <v>230</v>
      </c>
      <c r="R20" s="5" t="s">
        <v>231</v>
      </c>
      <c r="S20" s="5" t="s">
        <v>232</v>
      </c>
      <c r="T20" s="5" t="s">
        <v>233</v>
      </c>
      <c r="U20" s="5" t="s">
        <v>234</v>
      </c>
      <c r="V20" s="5" t="s">
        <v>235</v>
      </c>
      <c r="W20" s="5" t="s">
        <v>236</v>
      </c>
      <c r="X20" s="5" t="s">
        <v>237</v>
      </c>
      <c r="Y20" s="5" t="s">
        <v>238</v>
      </c>
      <c r="Z20" s="5" t="s">
        <v>239</v>
      </c>
      <c r="AA20" s="5" t="s">
        <v>240</v>
      </c>
      <c r="AB20" s="5" t="s">
        <v>241</v>
      </c>
      <c r="AC20" s="5" t="s">
        <v>242</v>
      </c>
      <c r="AD20" s="5" t="s">
        <v>243</v>
      </c>
      <c r="AE20" s="5" t="s">
        <v>244</v>
      </c>
      <c r="AF20" s="5" t="s">
        <v>246</v>
      </c>
      <c r="AG20" s="5" t="s">
        <v>247</v>
      </c>
      <c r="AH20" s="5" t="s">
        <v>248</v>
      </c>
      <c r="AI20" s="5" t="s">
        <v>249</v>
      </c>
      <c r="AJ20" s="5" t="s">
        <v>250</v>
      </c>
      <c r="AK20" s="5" t="s">
        <v>15</v>
      </c>
    </row>
    <row r="21" ht="15.75" customHeight="1">
      <c r="A21" s="50"/>
      <c r="B21" s="50"/>
      <c r="C21" s="76"/>
      <c r="D21" s="76"/>
      <c r="E21" s="76"/>
      <c r="F21" s="76"/>
      <c r="G21" s="76"/>
      <c r="H21" s="76"/>
      <c r="I21" s="7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51" t="str">
        <f t="shared" ref="AH21:AH50" si="3">IF(A21="","",COUNTIF(C21:AG21,"C"))</f>
        <v/>
      </c>
      <c r="AI21" s="51" t="str">
        <f t="shared" ref="AI21:AI50" si="4">IF(A21="","",COUNTIF(C21:AG21,"N")+COUNTIF(C21:AG21,"P"))</f>
        <v/>
      </c>
      <c r="AJ21" s="51" t="str">
        <f t="shared" ref="AJ21:AJ50" si="5">IF(A21="","",MAX(0,$B$16-AH21-AI21))</f>
        <v/>
      </c>
      <c r="AK21" s="78"/>
    </row>
    <row r="22" ht="15.75" customHeight="1">
      <c r="A22" s="50"/>
      <c r="B22" s="50"/>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6"/>
      <c r="AD22" s="76"/>
      <c r="AE22" s="76"/>
      <c r="AF22" s="76"/>
      <c r="AG22" s="76"/>
      <c r="AH22" s="51" t="str">
        <f t="shared" si="3"/>
        <v/>
      </c>
      <c r="AI22" s="51" t="str">
        <f t="shared" si="4"/>
        <v/>
      </c>
      <c r="AJ22" s="51" t="str">
        <f t="shared" si="5"/>
        <v/>
      </c>
      <c r="AK22" s="78"/>
    </row>
    <row r="23" ht="15.75" customHeight="1">
      <c r="A23" s="50"/>
      <c r="B23" s="50"/>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6"/>
      <c r="AD23" s="76"/>
      <c r="AE23" s="76"/>
      <c r="AF23" s="76"/>
      <c r="AG23" s="76"/>
      <c r="AH23" s="51" t="str">
        <f t="shared" si="3"/>
        <v/>
      </c>
      <c r="AI23" s="51" t="str">
        <f t="shared" si="4"/>
        <v/>
      </c>
      <c r="AJ23" s="51" t="str">
        <f t="shared" si="5"/>
        <v/>
      </c>
      <c r="AK23" s="78"/>
    </row>
    <row r="24" ht="15.75" customHeight="1">
      <c r="A24" s="50"/>
      <c r="B24" s="50"/>
      <c r="C24" s="76"/>
      <c r="D24" s="76"/>
      <c r="E24" s="76"/>
      <c r="F24" s="76"/>
      <c r="G24" s="76"/>
      <c r="H24" s="76"/>
      <c r="I24" s="76"/>
      <c r="J24" s="76"/>
      <c r="K24" s="76"/>
      <c r="L24" s="76"/>
      <c r="M24" s="76"/>
      <c r="N24" s="76"/>
      <c r="O24" s="76"/>
      <c r="P24" s="76"/>
      <c r="Q24" s="76"/>
      <c r="R24" s="76"/>
      <c r="S24" s="76"/>
      <c r="T24" s="76"/>
      <c r="U24" s="76"/>
      <c r="V24" s="76"/>
      <c r="W24" s="76"/>
      <c r="X24" s="76"/>
      <c r="Y24" s="76"/>
      <c r="Z24" s="76"/>
      <c r="AA24" s="76"/>
      <c r="AB24" s="76"/>
      <c r="AC24" s="76"/>
      <c r="AD24" s="76"/>
      <c r="AE24" s="76"/>
      <c r="AF24" s="76"/>
      <c r="AG24" s="76"/>
      <c r="AH24" s="51" t="str">
        <f t="shared" si="3"/>
        <v/>
      </c>
      <c r="AI24" s="51" t="str">
        <f t="shared" si="4"/>
        <v/>
      </c>
      <c r="AJ24" s="51" t="str">
        <f t="shared" si="5"/>
        <v/>
      </c>
      <c r="AK24" s="78"/>
    </row>
    <row r="25" ht="15.75" customHeight="1">
      <c r="A25" s="50"/>
      <c r="B25" s="50"/>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c r="AF25" s="76"/>
      <c r="AG25" s="76"/>
      <c r="AH25" s="51" t="str">
        <f t="shared" si="3"/>
        <v/>
      </c>
      <c r="AI25" s="51" t="str">
        <f t="shared" si="4"/>
        <v/>
      </c>
      <c r="AJ25" s="51" t="str">
        <f t="shared" si="5"/>
        <v/>
      </c>
      <c r="AK25" s="78"/>
    </row>
    <row r="26" ht="15.75" customHeight="1">
      <c r="A26" s="50"/>
      <c r="B26" s="50"/>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51" t="str">
        <f t="shared" si="3"/>
        <v/>
      </c>
      <c r="AI26" s="51" t="str">
        <f t="shared" si="4"/>
        <v/>
      </c>
      <c r="AJ26" s="51" t="str">
        <f t="shared" si="5"/>
        <v/>
      </c>
      <c r="AK26" s="78"/>
    </row>
    <row r="27" ht="15.75" customHeight="1">
      <c r="A27" s="50"/>
      <c r="B27" s="50"/>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51" t="str">
        <f t="shared" si="3"/>
        <v/>
      </c>
      <c r="AI27" s="51" t="str">
        <f t="shared" si="4"/>
        <v/>
      </c>
      <c r="AJ27" s="51" t="str">
        <f t="shared" si="5"/>
        <v/>
      </c>
      <c r="AK27" s="78"/>
    </row>
    <row r="28" ht="15.75" customHeight="1">
      <c r="A28" s="50"/>
      <c r="B28" s="50"/>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51" t="str">
        <f t="shared" si="3"/>
        <v/>
      </c>
      <c r="AI28" s="51" t="str">
        <f t="shared" si="4"/>
        <v/>
      </c>
      <c r="AJ28" s="51" t="str">
        <f t="shared" si="5"/>
        <v/>
      </c>
      <c r="AK28" s="78"/>
    </row>
    <row r="29" ht="15.75" customHeight="1">
      <c r="A29" s="50"/>
      <c r="B29" s="50"/>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c r="AF29" s="76"/>
      <c r="AG29" s="76"/>
      <c r="AH29" s="51" t="str">
        <f t="shared" si="3"/>
        <v/>
      </c>
      <c r="AI29" s="51" t="str">
        <f t="shared" si="4"/>
        <v/>
      </c>
      <c r="AJ29" s="51" t="str">
        <f t="shared" si="5"/>
        <v/>
      </c>
      <c r="AK29" s="78"/>
    </row>
    <row r="30" ht="15.75" customHeight="1">
      <c r="A30" s="50"/>
      <c r="B30" s="50"/>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6"/>
      <c r="AD30" s="76"/>
      <c r="AE30" s="76"/>
      <c r="AF30" s="76"/>
      <c r="AG30" s="76"/>
      <c r="AH30" s="51" t="str">
        <f t="shared" si="3"/>
        <v/>
      </c>
      <c r="AI30" s="51" t="str">
        <f t="shared" si="4"/>
        <v/>
      </c>
      <c r="AJ30" s="51" t="str">
        <f t="shared" si="5"/>
        <v/>
      </c>
      <c r="AK30" s="78"/>
    </row>
    <row r="31" ht="15.75" customHeight="1">
      <c r="A31" s="50"/>
      <c r="B31" s="50"/>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c r="AF31" s="76"/>
      <c r="AG31" s="76"/>
      <c r="AH31" s="51" t="str">
        <f t="shared" si="3"/>
        <v/>
      </c>
      <c r="AI31" s="51" t="str">
        <f t="shared" si="4"/>
        <v/>
      </c>
      <c r="AJ31" s="51" t="str">
        <f t="shared" si="5"/>
        <v/>
      </c>
      <c r="AK31" s="78"/>
    </row>
    <row r="32" ht="15.75" customHeight="1">
      <c r="A32" s="50"/>
      <c r="B32" s="50"/>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51" t="str">
        <f t="shared" si="3"/>
        <v/>
      </c>
      <c r="AI32" s="51" t="str">
        <f t="shared" si="4"/>
        <v/>
      </c>
      <c r="AJ32" s="51" t="str">
        <f t="shared" si="5"/>
        <v/>
      </c>
      <c r="AK32" s="78"/>
    </row>
    <row r="33" ht="15.75" customHeight="1">
      <c r="A33" s="50"/>
      <c r="B33" s="50"/>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c r="AF33" s="76"/>
      <c r="AG33" s="76"/>
      <c r="AH33" s="51" t="str">
        <f t="shared" si="3"/>
        <v/>
      </c>
      <c r="AI33" s="51" t="str">
        <f t="shared" si="4"/>
        <v/>
      </c>
      <c r="AJ33" s="51" t="str">
        <f t="shared" si="5"/>
        <v/>
      </c>
      <c r="AK33" s="78"/>
    </row>
    <row r="34" ht="15.75" customHeight="1">
      <c r="A34" s="50"/>
      <c r="B34" s="50"/>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c r="AF34" s="76"/>
      <c r="AG34" s="76"/>
      <c r="AH34" s="51" t="str">
        <f t="shared" si="3"/>
        <v/>
      </c>
      <c r="AI34" s="51" t="str">
        <f t="shared" si="4"/>
        <v/>
      </c>
      <c r="AJ34" s="51" t="str">
        <f t="shared" si="5"/>
        <v/>
      </c>
      <c r="AK34" s="78"/>
    </row>
    <row r="35" ht="15.75" customHeight="1">
      <c r="A35" s="50"/>
      <c r="B35" s="50"/>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6"/>
      <c r="AF35" s="76"/>
      <c r="AG35" s="76"/>
      <c r="AH35" s="51" t="str">
        <f t="shared" si="3"/>
        <v/>
      </c>
      <c r="AI35" s="51" t="str">
        <f t="shared" si="4"/>
        <v/>
      </c>
      <c r="AJ35" s="51" t="str">
        <f t="shared" si="5"/>
        <v/>
      </c>
      <c r="AK35" s="78"/>
    </row>
    <row r="36" ht="15.75" customHeight="1">
      <c r="A36" s="50"/>
      <c r="B36" s="50"/>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51" t="str">
        <f t="shared" si="3"/>
        <v/>
      </c>
      <c r="AI36" s="51" t="str">
        <f t="shared" si="4"/>
        <v/>
      </c>
      <c r="AJ36" s="51" t="str">
        <f t="shared" si="5"/>
        <v/>
      </c>
      <c r="AK36" s="78"/>
    </row>
    <row r="37" ht="15.75" customHeight="1">
      <c r="A37" s="50"/>
      <c r="B37" s="50"/>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51" t="str">
        <f t="shared" si="3"/>
        <v/>
      </c>
      <c r="AI37" s="51" t="str">
        <f t="shared" si="4"/>
        <v/>
      </c>
      <c r="AJ37" s="51" t="str">
        <f t="shared" si="5"/>
        <v/>
      </c>
      <c r="AK37" s="78"/>
    </row>
    <row r="38" ht="15.75" customHeight="1">
      <c r="A38" s="50"/>
      <c r="B38" s="50"/>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6"/>
      <c r="AC38" s="76"/>
      <c r="AD38" s="76"/>
      <c r="AE38" s="76"/>
      <c r="AF38" s="76"/>
      <c r="AG38" s="76"/>
      <c r="AH38" s="51" t="str">
        <f t="shared" si="3"/>
        <v/>
      </c>
      <c r="AI38" s="51" t="str">
        <f t="shared" si="4"/>
        <v/>
      </c>
      <c r="AJ38" s="51" t="str">
        <f t="shared" si="5"/>
        <v/>
      </c>
      <c r="AK38" s="78"/>
    </row>
    <row r="39" ht="15.75" customHeight="1">
      <c r="A39" s="50"/>
      <c r="B39" s="50"/>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51" t="str">
        <f t="shared" si="3"/>
        <v/>
      </c>
      <c r="AI39" s="51" t="str">
        <f t="shared" si="4"/>
        <v/>
      </c>
      <c r="AJ39" s="51" t="str">
        <f t="shared" si="5"/>
        <v/>
      </c>
      <c r="AK39" s="78"/>
    </row>
    <row r="40" ht="15.75" customHeight="1">
      <c r="A40" s="50"/>
      <c r="B40" s="50"/>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51" t="str">
        <f t="shared" si="3"/>
        <v/>
      </c>
      <c r="AI40" s="51" t="str">
        <f t="shared" si="4"/>
        <v/>
      </c>
      <c r="AJ40" s="51" t="str">
        <f t="shared" si="5"/>
        <v/>
      </c>
      <c r="AK40" s="78"/>
    </row>
    <row r="41" ht="15.75" customHeight="1">
      <c r="A41" s="50"/>
      <c r="B41" s="50"/>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c r="AF41" s="76"/>
      <c r="AG41" s="76"/>
      <c r="AH41" s="51" t="str">
        <f t="shared" si="3"/>
        <v/>
      </c>
      <c r="AI41" s="51" t="str">
        <f t="shared" si="4"/>
        <v/>
      </c>
      <c r="AJ41" s="51" t="str">
        <f t="shared" si="5"/>
        <v/>
      </c>
      <c r="AK41" s="78"/>
    </row>
    <row r="42" ht="15.75" customHeight="1">
      <c r="A42" s="50"/>
      <c r="B42" s="50"/>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51" t="str">
        <f t="shared" si="3"/>
        <v/>
      </c>
      <c r="AI42" s="51" t="str">
        <f t="shared" si="4"/>
        <v/>
      </c>
      <c r="AJ42" s="51" t="str">
        <f t="shared" si="5"/>
        <v/>
      </c>
      <c r="AK42" s="78"/>
    </row>
    <row r="43" ht="15.75" customHeight="1">
      <c r="A43" s="50"/>
      <c r="B43" s="50"/>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51" t="str">
        <f t="shared" si="3"/>
        <v/>
      </c>
      <c r="AI43" s="51" t="str">
        <f t="shared" si="4"/>
        <v/>
      </c>
      <c r="AJ43" s="51" t="str">
        <f t="shared" si="5"/>
        <v/>
      </c>
      <c r="AK43" s="78"/>
    </row>
    <row r="44" ht="15.75" customHeight="1">
      <c r="A44" s="50"/>
      <c r="B44" s="50"/>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51" t="str">
        <f t="shared" si="3"/>
        <v/>
      </c>
      <c r="AI44" s="51" t="str">
        <f t="shared" si="4"/>
        <v/>
      </c>
      <c r="AJ44" s="51" t="str">
        <f t="shared" si="5"/>
        <v/>
      </c>
      <c r="AK44" s="78"/>
    </row>
    <row r="45" ht="15.75" customHeight="1">
      <c r="A45" s="50"/>
      <c r="B45" s="50"/>
      <c r="C45" s="76"/>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51" t="str">
        <f t="shared" si="3"/>
        <v/>
      </c>
      <c r="AI45" s="51" t="str">
        <f t="shared" si="4"/>
        <v/>
      </c>
      <c r="AJ45" s="51" t="str">
        <f t="shared" si="5"/>
        <v/>
      </c>
      <c r="AK45" s="78"/>
    </row>
    <row r="46" ht="15.75" customHeight="1">
      <c r="A46" s="50"/>
      <c r="B46" s="50"/>
      <c r="C46" s="76"/>
      <c r="D46" s="76"/>
      <c r="E46" s="76"/>
      <c r="F46" s="76"/>
      <c r="G46" s="76"/>
      <c r="H46" s="76"/>
      <c r="I46" s="76"/>
      <c r="J46" s="76"/>
      <c r="K46" s="76"/>
      <c r="L46" s="76"/>
      <c r="M46" s="76"/>
      <c r="N46" s="76"/>
      <c r="O46" s="76"/>
      <c r="P46" s="76"/>
      <c r="Q46" s="76"/>
      <c r="R46" s="76"/>
      <c r="S46" s="76"/>
      <c r="T46" s="76"/>
      <c r="U46" s="76"/>
      <c r="V46" s="76"/>
      <c r="W46" s="76"/>
      <c r="X46" s="76"/>
      <c r="Y46" s="76"/>
      <c r="Z46" s="76"/>
      <c r="AA46" s="76"/>
      <c r="AB46" s="76"/>
      <c r="AC46" s="76"/>
      <c r="AD46" s="76"/>
      <c r="AE46" s="76"/>
      <c r="AF46" s="76"/>
      <c r="AG46" s="76"/>
      <c r="AH46" s="51" t="str">
        <f t="shared" si="3"/>
        <v/>
      </c>
      <c r="AI46" s="51" t="str">
        <f t="shared" si="4"/>
        <v/>
      </c>
      <c r="AJ46" s="51" t="str">
        <f t="shared" si="5"/>
        <v/>
      </c>
      <c r="AK46" s="78"/>
    </row>
    <row r="47" ht="15.75" customHeight="1">
      <c r="A47" s="50"/>
      <c r="B47" s="50"/>
      <c r="C47" s="76"/>
      <c r="D47" s="76"/>
      <c r="E47" s="76"/>
      <c r="F47" s="76"/>
      <c r="G47" s="76"/>
      <c r="H47" s="76"/>
      <c r="I47" s="76"/>
      <c r="J47" s="76"/>
      <c r="K47" s="76"/>
      <c r="L47" s="76"/>
      <c r="M47" s="76"/>
      <c r="N47" s="76"/>
      <c r="O47" s="76"/>
      <c r="P47" s="76"/>
      <c r="Q47" s="76"/>
      <c r="R47" s="76"/>
      <c r="S47" s="76"/>
      <c r="T47" s="76"/>
      <c r="U47" s="76"/>
      <c r="V47" s="76"/>
      <c r="W47" s="76"/>
      <c r="X47" s="76"/>
      <c r="Y47" s="76"/>
      <c r="Z47" s="76"/>
      <c r="AA47" s="76"/>
      <c r="AB47" s="76"/>
      <c r="AC47" s="76"/>
      <c r="AD47" s="76"/>
      <c r="AE47" s="76"/>
      <c r="AF47" s="76"/>
      <c r="AG47" s="76"/>
      <c r="AH47" s="51" t="str">
        <f t="shared" si="3"/>
        <v/>
      </c>
      <c r="AI47" s="51" t="str">
        <f t="shared" si="4"/>
        <v/>
      </c>
      <c r="AJ47" s="51" t="str">
        <f t="shared" si="5"/>
        <v/>
      </c>
      <c r="AK47" s="78"/>
    </row>
    <row r="48" ht="15.75" customHeight="1">
      <c r="A48" s="50"/>
      <c r="B48" s="50"/>
      <c r="C48" s="76"/>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51" t="str">
        <f t="shared" si="3"/>
        <v/>
      </c>
      <c r="AI48" s="51" t="str">
        <f t="shared" si="4"/>
        <v/>
      </c>
      <c r="AJ48" s="51" t="str">
        <f t="shared" si="5"/>
        <v/>
      </c>
      <c r="AK48" s="78"/>
    </row>
    <row r="49" ht="15.75" customHeight="1">
      <c r="A49" s="50"/>
      <c r="B49" s="50"/>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51" t="str">
        <f t="shared" si="3"/>
        <v/>
      </c>
      <c r="AI49" s="51" t="str">
        <f t="shared" si="4"/>
        <v/>
      </c>
      <c r="AJ49" s="51" t="str">
        <f t="shared" si="5"/>
        <v/>
      </c>
      <c r="AK49" s="78"/>
    </row>
    <row r="50" ht="15.75" customHeight="1">
      <c r="A50" s="50"/>
      <c r="B50" s="50"/>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51" t="str">
        <f t="shared" si="3"/>
        <v/>
      </c>
      <c r="AI50" s="51" t="str">
        <f t="shared" si="4"/>
        <v/>
      </c>
      <c r="AJ50" s="51" t="str">
        <f t="shared" si="5"/>
        <v/>
      </c>
      <c r="AK50" s="78"/>
    </row>
    <row r="51" ht="15.75" customHeight="1">
      <c r="A51" s="50"/>
      <c r="B51" s="50"/>
      <c r="C51" s="76"/>
      <c r="D51" s="76"/>
      <c r="E51" s="76"/>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51"/>
      <c r="AI51" s="51"/>
      <c r="AJ51" s="51"/>
      <c r="AK51" s="14"/>
    </row>
    <row r="52" ht="15.75" customHeight="1">
      <c r="A52" s="50"/>
      <c r="B52" s="50"/>
      <c r="C52" s="76"/>
      <c r="D52" s="76"/>
      <c r="E52" s="76"/>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51"/>
      <c r="AI52" s="51"/>
      <c r="AJ52" s="51"/>
      <c r="AK52" s="14"/>
    </row>
    <row r="53" ht="15.75" customHeight="1">
      <c r="A53" s="50"/>
      <c r="B53" s="50"/>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51"/>
      <c r="AI53" s="51"/>
      <c r="AJ53" s="51"/>
      <c r="AK53" s="14"/>
    </row>
    <row r="54" ht="15.75" customHeight="1">
      <c r="A54" s="50"/>
      <c r="B54" s="50"/>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51"/>
      <c r="AI54" s="51"/>
      <c r="AJ54" s="51"/>
      <c r="AK54" s="14"/>
    </row>
    <row r="55" ht="15.75" customHeight="1">
      <c r="A55" s="50"/>
      <c r="B55" s="50"/>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51"/>
      <c r="AI55" s="51"/>
      <c r="AJ55" s="51"/>
      <c r="AK55" s="14"/>
    </row>
    <row r="56" ht="15.75" customHeight="1">
      <c r="A56" s="50"/>
      <c r="B56" s="50"/>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51"/>
      <c r="AI56" s="51"/>
      <c r="AJ56" s="51"/>
      <c r="AK56" s="14"/>
    </row>
    <row r="57" ht="15.75" customHeight="1">
      <c r="A57" s="50"/>
      <c r="B57" s="50"/>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51"/>
      <c r="AI57" s="51"/>
      <c r="AJ57" s="51"/>
      <c r="AK57" s="14"/>
    </row>
    <row r="58" ht="15.75" customHeight="1">
      <c r="A58" s="50"/>
      <c r="B58" s="50"/>
      <c r="C58" s="76"/>
      <c r="D58" s="76"/>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51"/>
      <c r="AI58" s="51"/>
      <c r="AJ58" s="51"/>
      <c r="AK58" s="14"/>
    </row>
    <row r="59" ht="15.75" customHeight="1">
      <c r="A59" s="50"/>
      <c r="B59" s="50"/>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51"/>
      <c r="AI59" s="51"/>
      <c r="AJ59" s="51"/>
      <c r="AK59" s="14"/>
    </row>
    <row r="60" ht="15.75" customHeight="1">
      <c r="A60" s="50"/>
      <c r="B60" s="50"/>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51"/>
      <c r="AI60" s="51"/>
      <c r="AJ60" s="51"/>
      <c r="AK60" s="14"/>
    </row>
    <row r="61" ht="15.75" customHeight="1">
      <c r="A61" s="50"/>
      <c r="B61" s="50"/>
      <c r="C61" s="76"/>
      <c r="D61" s="76"/>
      <c r="E61" s="76"/>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51"/>
      <c r="AI61" s="51"/>
      <c r="AJ61" s="51"/>
      <c r="AK61" s="14"/>
    </row>
    <row r="62" ht="15.75" customHeight="1">
      <c r="A62" s="50"/>
      <c r="B62" s="50"/>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51"/>
      <c r="AI62" s="51"/>
      <c r="AJ62" s="51"/>
      <c r="AK62" s="14"/>
    </row>
    <row r="63" ht="15.75" customHeight="1">
      <c r="A63" s="50"/>
      <c r="B63" s="50"/>
      <c r="C63" s="76"/>
      <c r="D63" s="76"/>
      <c r="E63" s="76"/>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51"/>
      <c r="AI63" s="51"/>
      <c r="AJ63" s="51"/>
      <c r="AK63" s="14"/>
    </row>
    <row r="64" ht="15.75" customHeight="1">
      <c r="A64" s="50"/>
      <c r="B64" s="50"/>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51"/>
      <c r="AI64" s="51"/>
      <c r="AJ64" s="51"/>
      <c r="AK64" s="14"/>
    </row>
    <row r="65" ht="15.75" customHeight="1">
      <c r="A65" s="50"/>
      <c r="B65" s="50"/>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51"/>
      <c r="AI65" s="51"/>
      <c r="AJ65" s="51"/>
      <c r="AK65" s="14"/>
    </row>
    <row r="66" ht="15.75" customHeight="1">
      <c r="A66" s="50"/>
      <c r="B66" s="50"/>
      <c r="C66" s="76"/>
      <c r="D66" s="76"/>
      <c r="E66" s="76"/>
      <c r="F66" s="76"/>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51"/>
      <c r="AI66" s="51"/>
      <c r="AJ66" s="51"/>
      <c r="AK66" s="14"/>
    </row>
    <row r="67" ht="15.75" customHeight="1">
      <c r="A67" s="50"/>
      <c r="B67" s="50"/>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51"/>
      <c r="AI67" s="51"/>
      <c r="AJ67" s="51"/>
      <c r="AK67" s="14"/>
    </row>
    <row r="68" ht="15.75" customHeight="1">
      <c r="A68" s="50"/>
      <c r="B68" s="50"/>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51"/>
      <c r="AI68" s="51"/>
      <c r="AJ68" s="51"/>
      <c r="AK68" s="14"/>
    </row>
    <row r="69" ht="15.75" customHeight="1">
      <c r="A69" s="50"/>
      <c r="B69" s="50"/>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51"/>
      <c r="AI69" s="51"/>
      <c r="AJ69" s="51"/>
      <c r="AK69" s="14"/>
    </row>
    <row r="70" ht="15.75" customHeight="1">
      <c r="A70" s="50"/>
      <c r="B70" s="50"/>
      <c r="C70" s="76"/>
      <c r="D70" s="76"/>
      <c r="E70" s="76"/>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51"/>
      <c r="AI70" s="51"/>
      <c r="AJ70" s="51"/>
      <c r="AK70" s="14"/>
    </row>
    <row r="71" ht="15.75" customHeight="1">
      <c r="A71" s="50"/>
      <c r="B71" s="50"/>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51"/>
      <c r="AI71" s="51"/>
      <c r="AJ71" s="51"/>
      <c r="AK71" s="14"/>
    </row>
    <row r="72" ht="15.75" customHeight="1">
      <c r="A72" s="50"/>
      <c r="B72" s="50"/>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51"/>
      <c r="AI72" s="51"/>
      <c r="AJ72" s="51"/>
      <c r="AK72" s="14"/>
    </row>
    <row r="73" ht="15.75" customHeight="1">
      <c r="A73" s="50"/>
      <c r="B73" s="50"/>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51"/>
      <c r="AI73" s="51"/>
      <c r="AJ73" s="51"/>
      <c r="AK73" s="14"/>
    </row>
    <row r="74" ht="15.75" customHeight="1">
      <c r="A74" s="50"/>
      <c r="B74" s="50"/>
      <c r="C74" s="76"/>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51"/>
      <c r="AI74" s="51"/>
      <c r="AJ74" s="51"/>
      <c r="AK74" s="14"/>
    </row>
    <row r="75" ht="15.75" customHeight="1">
      <c r="A75" s="50"/>
      <c r="B75" s="50"/>
      <c r="C75" s="76"/>
      <c r="D75" s="76"/>
      <c r="E75" s="76"/>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51"/>
      <c r="AI75" s="51"/>
      <c r="AJ75" s="51"/>
      <c r="AK75" s="14"/>
    </row>
    <row r="76" ht="15.75" customHeight="1">
      <c r="A76" s="50"/>
      <c r="B76" s="50"/>
      <c r="C76" s="76"/>
      <c r="D76" s="76"/>
      <c r="E76" s="76"/>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51"/>
      <c r="AI76" s="51"/>
      <c r="AJ76" s="51"/>
      <c r="AK76" s="14"/>
    </row>
    <row r="77" ht="15.75" customHeight="1">
      <c r="A77" s="50"/>
      <c r="B77" s="50"/>
      <c r="C77" s="76"/>
      <c r="D77" s="76"/>
      <c r="E77" s="76"/>
      <c r="F77" s="76"/>
      <c r="G77" s="76"/>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51"/>
      <c r="AI77" s="51"/>
      <c r="AJ77" s="51"/>
      <c r="AK77" s="14"/>
    </row>
    <row r="78" ht="15.75" customHeight="1">
      <c r="A78" s="50"/>
      <c r="B78" s="50"/>
      <c r="C78" s="76"/>
      <c r="D78" s="76"/>
      <c r="E78" s="76"/>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51"/>
      <c r="AI78" s="51"/>
      <c r="AJ78" s="51"/>
      <c r="AK78" s="14"/>
    </row>
    <row r="79" ht="15.75" customHeight="1">
      <c r="A79" s="50"/>
      <c r="B79" s="50"/>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51"/>
      <c r="AI79" s="51"/>
      <c r="AJ79" s="51"/>
      <c r="AK79" s="14"/>
    </row>
    <row r="80" ht="15.75" customHeight="1">
      <c r="A80" s="50"/>
      <c r="B80" s="50"/>
      <c r="C80" s="76"/>
      <c r="D80" s="76"/>
      <c r="E80" s="76"/>
      <c r="F80" s="76"/>
      <c r="G80" s="76"/>
      <c r="H80" s="76"/>
      <c r="I80" s="76"/>
      <c r="J80" s="76"/>
      <c r="K80" s="76"/>
      <c r="L80" s="76"/>
      <c r="M80" s="76"/>
      <c r="N80" s="76"/>
      <c r="O80" s="76"/>
      <c r="P80" s="76"/>
      <c r="Q80" s="76"/>
      <c r="R80" s="76"/>
      <c r="S80" s="76"/>
      <c r="T80" s="76"/>
      <c r="U80" s="76"/>
      <c r="V80" s="76"/>
      <c r="W80" s="76"/>
      <c r="X80" s="76"/>
      <c r="Y80" s="76"/>
      <c r="Z80" s="76"/>
      <c r="AA80" s="76"/>
      <c r="AB80" s="76"/>
      <c r="AC80" s="76"/>
      <c r="AD80" s="76"/>
      <c r="AE80" s="76"/>
      <c r="AF80" s="76"/>
      <c r="AG80" s="76"/>
      <c r="AH80" s="51"/>
      <c r="AI80" s="51"/>
      <c r="AJ80" s="51"/>
      <c r="AK80" s="14"/>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K1"/>
  </mergeCells>
  <conditionalFormatting sqref="C21:AG50">
    <cfRule type="expression" dxfId="5" priority="1">
      <formula>C$19&lt;&gt;1</formula>
    </cfRule>
  </conditionalFormatting>
  <conditionalFormatting sqref="C21:AG80">
    <cfRule type="expression" dxfId="0" priority="2">
      <formula>C21="C"</formula>
    </cfRule>
  </conditionalFormatting>
  <conditionalFormatting sqref="C21:AG80">
    <cfRule type="expression" dxfId="1" priority="3">
      <formula>C21="N"</formula>
    </cfRule>
  </conditionalFormatting>
  <conditionalFormatting sqref="C17:AG20">
    <cfRule type="expression" dxfId="6" priority="4">
      <formula>C$19=1</formula>
    </cfRule>
  </conditionalFormatting>
  <dataValidations>
    <dataValidation type="list" allowBlank="1" sqref="C21:AG80">
      <formula1>"C,N"</formula1>
    </dataValidation>
  </dataValidations>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24.0"/>
    <col customWidth="1" min="3" max="33" width="5.0"/>
    <col customWidth="1" min="34" max="36" width="13.0"/>
    <col customWidth="1" min="37" max="37" width="42.0"/>
  </cols>
  <sheetData>
    <row r="1" ht="30.0" customHeight="1">
      <c r="A1" s="64" t="s">
        <v>376</v>
      </c>
    </row>
    <row r="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ht="18.0" customHeight="1">
      <c r="A3" s="67" t="s">
        <v>10</v>
      </c>
      <c r="B3" s="51" t="str">
        <f>IFERROR(DANH_MUC_LOP!$B$12,"")</f>
        <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ht="18.0" customHeight="1">
      <c r="A4" s="67" t="s">
        <v>76</v>
      </c>
      <c r="B4" s="68">
        <f>IFERROR(DIEU_KHIEN!$B$4,"")</f>
        <v>46235</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row>
    <row r="5" ht="18.0" customHeight="1">
      <c r="A5" s="67" t="s">
        <v>19</v>
      </c>
      <c r="B5" s="51" t="str">
        <f>IFERROR(DANH_MUC_LOP!$C$12,"")</f>
        <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row>
    <row r="6" ht="18.0" customHeight="1">
      <c r="A6" s="67" t="s">
        <v>21</v>
      </c>
      <c r="B6" s="51" t="str">
        <f>IFERROR(DANH_MUC_LOP!$D$12,"")</f>
        <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row>
    <row r="7" ht="18.0" customHeight="1">
      <c r="A7" s="67" t="s">
        <v>22</v>
      </c>
      <c r="B7" s="51" t="str">
        <f>IFERROR(DANH_MUC_LOP!$E$12,"")</f>
        <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row>
    <row r="8" ht="18.0" customHeight="1">
      <c r="A8" s="67" t="s">
        <v>23</v>
      </c>
      <c r="B8" s="43" t="str">
        <f>IFERROR(DANH_MUC_LOP!$F$12,"")</f>
        <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row>
    <row r="9" ht="18.0" customHeight="1">
      <c r="A9" s="67" t="s">
        <v>195</v>
      </c>
      <c r="B9" s="51" t="str">
        <f>IFERROR(DANH_MUC_LOP!$G$12,"")</f>
        <v>Không</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row>
    <row r="10" ht="18.0" customHeight="1">
      <c r="A10" s="67" t="s">
        <v>197</v>
      </c>
      <c r="B10" s="51" t="str">
        <f>IFERROR(DANH_MUC_LOP!$H$12,"")</f>
        <v>Không</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row>
    <row r="11" ht="18.0" customHeight="1">
      <c r="A11" s="67" t="s">
        <v>199</v>
      </c>
      <c r="B11" s="51" t="str">
        <f>IFERROR(DANH_MUC_LOP!$I$12,"")</f>
        <v>Không</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row>
    <row r="12" ht="18.0" customHeight="1">
      <c r="A12" s="67" t="s">
        <v>201</v>
      </c>
      <c r="B12" s="51" t="str">
        <f>IFERROR(DANH_MUC_LOP!$J$12,"")</f>
        <v>Không</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row>
    <row r="13" ht="18.0" customHeight="1">
      <c r="A13" s="67" t="s">
        <v>203</v>
      </c>
      <c r="B13" s="51" t="str">
        <f>IFERROR(DANH_MUC_LOP!$K$12,"")</f>
        <v>Không</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row>
    <row r="14" ht="18.0" customHeight="1">
      <c r="A14" s="67" t="s">
        <v>205</v>
      </c>
      <c r="B14" s="51" t="str">
        <f>IFERROR(DANH_MUC_LOP!$L$12,"")</f>
        <v>Không</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ht="18.0" customHeight="1">
      <c r="A15" s="67" t="s">
        <v>206</v>
      </c>
      <c r="B15" s="51" t="str">
        <f>IFERROR(DANH_MUC_LOP!$M$12,"")</f>
        <v>Không</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row>
    <row r="16" ht="18.0" customHeight="1">
      <c r="A16" s="67" t="s">
        <v>209</v>
      </c>
      <c r="B16" s="51" t="str">
        <f>IFERROR(IF(DANH_MUC_LOP!$R$12&gt;0,DANH_MUC_LOP!$R$12,SUM(C19:AG19)),SUM(C19:AG19))</f>
        <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row>
    <row r="17">
      <c r="A17" s="4" t="s">
        <v>212</v>
      </c>
      <c r="B17" s="4"/>
      <c r="C17" s="71">
        <v>1.0</v>
      </c>
      <c r="D17" s="71">
        <v>2.0</v>
      </c>
      <c r="E17" s="71">
        <v>3.0</v>
      </c>
      <c r="F17" s="71">
        <v>4.0</v>
      </c>
      <c r="G17" s="71">
        <v>5.0</v>
      </c>
      <c r="H17" s="71">
        <v>6.0</v>
      </c>
      <c r="I17" s="71">
        <v>7.0</v>
      </c>
      <c r="J17" s="71">
        <v>8.0</v>
      </c>
      <c r="K17" s="71">
        <v>9.0</v>
      </c>
      <c r="L17" s="71">
        <v>10.0</v>
      </c>
      <c r="M17" s="71">
        <v>11.0</v>
      </c>
      <c r="N17" s="71">
        <v>12.0</v>
      </c>
      <c r="O17" s="71">
        <v>13.0</v>
      </c>
      <c r="P17" s="71">
        <v>14.0</v>
      </c>
      <c r="Q17" s="71">
        <v>15.0</v>
      </c>
      <c r="R17" s="71">
        <v>16.0</v>
      </c>
      <c r="S17" s="71">
        <v>17.0</v>
      </c>
      <c r="T17" s="71">
        <v>18.0</v>
      </c>
      <c r="U17" s="71">
        <v>19.0</v>
      </c>
      <c r="V17" s="71">
        <v>20.0</v>
      </c>
      <c r="W17" s="71">
        <v>21.0</v>
      </c>
      <c r="X17" s="71">
        <v>22.0</v>
      </c>
      <c r="Y17" s="71">
        <v>23.0</v>
      </c>
      <c r="Z17" s="71">
        <v>24.0</v>
      </c>
      <c r="AA17" s="71">
        <v>25.0</v>
      </c>
      <c r="AB17" s="71">
        <v>26.0</v>
      </c>
      <c r="AC17" s="71">
        <v>27.0</v>
      </c>
      <c r="AD17" s="71">
        <v>28.0</v>
      </c>
      <c r="AE17" s="71">
        <v>29.0</v>
      </c>
      <c r="AF17" s="71">
        <v>30.0</v>
      </c>
      <c r="AG17" s="71">
        <v>31.0</v>
      </c>
      <c r="AH17" s="72"/>
      <c r="AI17" s="72"/>
      <c r="AJ17" s="72"/>
      <c r="AK17" s="72"/>
    </row>
    <row r="18">
      <c r="A18" s="4" t="s">
        <v>5</v>
      </c>
      <c r="B18" s="4"/>
      <c r="C18" s="74">
        <f t="shared" ref="C18:AG18" si="1">IFERROR(IF(MONTH(DATE(YEAR($B$4),MONTH($B$4),C$17))=MONTH($B$4),DATE(YEAR($B$4),MONTH($B$4),C$17),""),"")</f>
        <v>46235</v>
      </c>
      <c r="D18" s="74">
        <f t="shared" si="1"/>
        <v>46236</v>
      </c>
      <c r="E18" s="74">
        <f t="shared" si="1"/>
        <v>46237</v>
      </c>
      <c r="F18" s="74">
        <f t="shared" si="1"/>
        <v>46238</v>
      </c>
      <c r="G18" s="74">
        <f t="shared" si="1"/>
        <v>46239</v>
      </c>
      <c r="H18" s="74">
        <f t="shared" si="1"/>
        <v>46240</v>
      </c>
      <c r="I18" s="74">
        <f t="shared" si="1"/>
        <v>46241</v>
      </c>
      <c r="J18" s="74">
        <f t="shared" si="1"/>
        <v>46242</v>
      </c>
      <c r="K18" s="74">
        <f t="shared" si="1"/>
        <v>46243</v>
      </c>
      <c r="L18" s="74">
        <f t="shared" si="1"/>
        <v>46244</v>
      </c>
      <c r="M18" s="74">
        <f t="shared" si="1"/>
        <v>46245</v>
      </c>
      <c r="N18" s="74">
        <f t="shared" si="1"/>
        <v>46246</v>
      </c>
      <c r="O18" s="74">
        <f t="shared" si="1"/>
        <v>46247</v>
      </c>
      <c r="P18" s="74">
        <f t="shared" si="1"/>
        <v>46248</v>
      </c>
      <c r="Q18" s="74">
        <f t="shared" si="1"/>
        <v>46249</v>
      </c>
      <c r="R18" s="74">
        <f t="shared" si="1"/>
        <v>46250</v>
      </c>
      <c r="S18" s="74">
        <f t="shared" si="1"/>
        <v>46251</v>
      </c>
      <c r="T18" s="74">
        <f t="shared" si="1"/>
        <v>46252</v>
      </c>
      <c r="U18" s="74">
        <f t="shared" si="1"/>
        <v>46253</v>
      </c>
      <c r="V18" s="74">
        <f t="shared" si="1"/>
        <v>46254</v>
      </c>
      <c r="W18" s="74">
        <f t="shared" si="1"/>
        <v>46255</v>
      </c>
      <c r="X18" s="74">
        <f t="shared" si="1"/>
        <v>46256</v>
      </c>
      <c r="Y18" s="74">
        <f t="shared" si="1"/>
        <v>46257</v>
      </c>
      <c r="Z18" s="74">
        <f t="shared" si="1"/>
        <v>46258</v>
      </c>
      <c r="AA18" s="74">
        <f t="shared" si="1"/>
        <v>46259</v>
      </c>
      <c r="AB18" s="74">
        <f t="shared" si="1"/>
        <v>46260</v>
      </c>
      <c r="AC18" s="74">
        <f t="shared" si="1"/>
        <v>46261</v>
      </c>
      <c r="AD18" s="74">
        <f t="shared" si="1"/>
        <v>46262</v>
      </c>
      <c r="AE18" s="74">
        <f t="shared" si="1"/>
        <v>46263</v>
      </c>
      <c r="AF18" s="74">
        <f t="shared" si="1"/>
        <v>46264</v>
      </c>
      <c r="AG18" s="74">
        <f t="shared" si="1"/>
        <v>46265</v>
      </c>
      <c r="AH18" s="72"/>
      <c r="AI18" s="72"/>
      <c r="AJ18" s="72"/>
      <c r="AK18" s="72"/>
    </row>
    <row r="19">
      <c r="A19" s="4" t="s">
        <v>215</v>
      </c>
      <c r="B19" s="4"/>
      <c r="C19" s="71">
        <f t="shared" ref="C19:AG19" si="2">IFERROR(IF(C18="","",IF(CHOOSE(WEEKDAY(C18,2),$B$9,$B$10,$B$11,$B$12,$B$13,$B$14,$B$15)="Có",1,0)),"")</f>
        <v>0</v>
      </c>
      <c r="D19" s="71">
        <f t="shared" si="2"/>
        <v>0</v>
      </c>
      <c r="E19" s="71">
        <f t="shared" si="2"/>
        <v>0</v>
      </c>
      <c r="F19" s="71">
        <f t="shared" si="2"/>
        <v>0</v>
      </c>
      <c r="G19" s="71">
        <f t="shared" si="2"/>
        <v>0</v>
      </c>
      <c r="H19" s="71">
        <f t="shared" si="2"/>
        <v>0</v>
      </c>
      <c r="I19" s="71">
        <f t="shared" si="2"/>
        <v>0</v>
      </c>
      <c r="J19" s="71">
        <f t="shared" si="2"/>
        <v>0</v>
      </c>
      <c r="K19" s="71">
        <f t="shared" si="2"/>
        <v>0</v>
      </c>
      <c r="L19" s="71">
        <f t="shared" si="2"/>
        <v>0</v>
      </c>
      <c r="M19" s="71">
        <f t="shared" si="2"/>
        <v>0</v>
      </c>
      <c r="N19" s="71">
        <f t="shared" si="2"/>
        <v>0</v>
      </c>
      <c r="O19" s="71">
        <f t="shared" si="2"/>
        <v>0</v>
      </c>
      <c r="P19" s="71">
        <f t="shared" si="2"/>
        <v>0</v>
      </c>
      <c r="Q19" s="71">
        <f t="shared" si="2"/>
        <v>0</v>
      </c>
      <c r="R19" s="71">
        <f t="shared" si="2"/>
        <v>0</v>
      </c>
      <c r="S19" s="71">
        <f t="shared" si="2"/>
        <v>0</v>
      </c>
      <c r="T19" s="71">
        <f t="shared" si="2"/>
        <v>0</v>
      </c>
      <c r="U19" s="71">
        <f t="shared" si="2"/>
        <v>0</v>
      </c>
      <c r="V19" s="71">
        <f t="shared" si="2"/>
        <v>0</v>
      </c>
      <c r="W19" s="71">
        <f t="shared" si="2"/>
        <v>0</v>
      </c>
      <c r="X19" s="71">
        <f t="shared" si="2"/>
        <v>0</v>
      </c>
      <c r="Y19" s="71">
        <f t="shared" si="2"/>
        <v>0</v>
      </c>
      <c r="Z19" s="71">
        <f t="shared" si="2"/>
        <v>0</v>
      </c>
      <c r="AA19" s="71">
        <f t="shared" si="2"/>
        <v>0</v>
      </c>
      <c r="AB19" s="71">
        <f t="shared" si="2"/>
        <v>0</v>
      </c>
      <c r="AC19" s="71">
        <f t="shared" si="2"/>
        <v>0</v>
      </c>
      <c r="AD19" s="71">
        <f t="shared" si="2"/>
        <v>0</v>
      </c>
      <c r="AE19" s="71">
        <f t="shared" si="2"/>
        <v>0</v>
      </c>
      <c r="AF19" s="71">
        <f t="shared" si="2"/>
        <v>0</v>
      </c>
      <c r="AG19" s="71">
        <f t="shared" si="2"/>
        <v>0</v>
      </c>
      <c r="AH19" s="72"/>
      <c r="AI19" s="72"/>
      <c r="AJ19" s="72"/>
      <c r="AK19" s="72"/>
    </row>
    <row r="20" ht="27.75" customHeight="1">
      <c r="A20" s="5" t="s">
        <v>14</v>
      </c>
      <c r="B20" s="5" t="s">
        <v>16</v>
      </c>
      <c r="C20" s="5" t="s">
        <v>216</v>
      </c>
      <c r="D20" s="5" t="s">
        <v>217</v>
      </c>
      <c r="E20" s="5" t="s">
        <v>218</v>
      </c>
      <c r="F20" s="5" t="s">
        <v>219</v>
      </c>
      <c r="G20" s="5" t="s">
        <v>220</v>
      </c>
      <c r="H20" s="5" t="s">
        <v>221</v>
      </c>
      <c r="I20" s="5" t="s">
        <v>222</v>
      </c>
      <c r="J20" s="5" t="s">
        <v>223</v>
      </c>
      <c r="K20" s="5" t="s">
        <v>224</v>
      </c>
      <c r="L20" s="5" t="s">
        <v>225</v>
      </c>
      <c r="M20" s="5" t="s">
        <v>226</v>
      </c>
      <c r="N20" s="5" t="s">
        <v>227</v>
      </c>
      <c r="O20" s="5" t="s">
        <v>228</v>
      </c>
      <c r="P20" s="5" t="s">
        <v>229</v>
      </c>
      <c r="Q20" s="5" t="s">
        <v>230</v>
      </c>
      <c r="R20" s="5" t="s">
        <v>231</v>
      </c>
      <c r="S20" s="5" t="s">
        <v>232</v>
      </c>
      <c r="T20" s="5" t="s">
        <v>233</v>
      </c>
      <c r="U20" s="5" t="s">
        <v>234</v>
      </c>
      <c r="V20" s="5" t="s">
        <v>235</v>
      </c>
      <c r="W20" s="5" t="s">
        <v>236</v>
      </c>
      <c r="X20" s="5" t="s">
        <v>237</v>
      </c>
      <c r="Y20" s="5" t="s">
        <v>238</v>
      </c>
      <c r="Z20" s="5" t="s">
        <v>239</v>
      </c>
      <c r="AA20" s="5" t="s">
        <v>240</v>
      </c>
      <c r="AB20" s="5" t="s">
        <v>241</v>
      </c>
      <c r="AC20" s="5" t="s">
        <v>242</v>
      </c>
      <c r="AD20" s="5" t="s">
        <v>243</v>
      </c>
      <c r="AE20" s="5" t="s">
        <v>244</v>
      </c>
      <c r="AF20" s="5" t="s">
        <v>246</v>
      </c>
      <c r="AG20" s="5" t="s">
        <v>247</v>
      </c>
      <c r="AH20" s="5" t="s">
        <v>248</v>
      </c>
      <c r="AI20" s="5" t="s">
        <v>249</v>
      </c>
      <c r="AJ20" s="5" t="s">
        <v>250</v>
      </c>
      <c r="AK20" s="5" t="s">
        <v>15</v>
      </c>
    </row>
    <row r="21" ht="15.75" customHeight="1">
      <c r="A21" s="50"/>
      <c r="B21" s="50"/>
      <c r="C21" s="76"/>
      <c r="D21" s="76"/>
      <c r="E21" s="76"/>
      <c r="F21" s="76"/>
      <c r="G21" s="76"/>
      <c r="H21" s="76"/>
      <c r="I21" s="7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51" t="str">
        <f t="shared" ref="AH21:AH50" si="3">IF(A21="","",COUNTIF(C21:AG21,"C"))</f>
        <v/>
      </c>
      <c r="AI21" s="51" t="str">
        <f t="shared" ref="AI21:AI50" si="4">IF(A21="","",COUNTIF(C21:AG21,"N")+COUNTIF(C21:AG21,"P"))</f>
        <v/>
      </c>
      <c r="AJ21" s="51" t="str">
        <f t="shared" ref="AJ21:AJ50" si="5">IF(A21="","",MAX(0,$B$16-AH21-AI21))</f>
        <v/>
      </c>
      <c r="AK21" s="78"/>
    </row>
    <row r="22" ht="15.75" customHeight="1">
      <c r="A22" s="50"/>
      <c r="B22" s="50"/>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6"/>
      <c r="AD22" s="76"/>
      <c r="AE22" s="76"/>
      <c r="AF22" s="76"/>
      <c r="AG22" s="76"/>
      <c r="AH22" s="51" t="str">
        <f t="shared" si="3"/>
        <v/>
      </c>
      <c r="AI22" s="51" t="str">
        <f t="shared" si="4"/>
        <v/>
      </c>
      <c r="AJ22" s="51" t="str">
        <f t="shared" si="5"/>
        <v/>
      </c>
      <c r="AK22" s="78"/>
    </row>
    <row r="23" ht="15.75" customHeight="1">
      <c r="A23" s="50"/>
      <c r="B23" s="50"/>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6"/>
      <c r="AD23" s="76"/>
      <c r="AE23" s="76"/>
      <c r="AF23" s="76"/>
      <c r="AG23" s="76"/>
      <c r="AH23" s="51" t="str">
        <f t="shared" si="3"/>
        <v/>
      </c>
      <c r="AI23" s="51" t="str">
        <f t="shared" si="4"/>
        <v/>
      </c>
      <c r="AJ23" s="51" t="str">
        <f t="shared" si="5"/>
        <v/>
      </c>
      <c r="AK23" s="78"/>
    </row>
    <row r="24" ht="15.75" customHeight="1">
      <c r="A24" s="50"/>
      <c r="B24" s="50"/>
      <c r="C24" s="76"/>
      <c r="D24" s="76"/>
      <c r="E24" s="76"/>
      <c r="F24" s="76"/>
      <c r="G24" s="76"/>
      <c r="H24" s="76"/>
      <c r="I24" s="76"/>
      <c r="J24" s="76"/>
      <c r="K24" s="76"/>
      <c r="L24" s="76"/>
      <c r="M24" s="76"/>
      <c r="N24" s="76"/>
      <c r="O24" s="76"/>
      <c r="P24" s="76"/>
      <c r="Q24" s="76"/>
      <c r="R24" s="76"/>
      <c r="S24" s="76"/>
      <c r="T24" s="76"/>
      <c r="U24" s="76"/>
      <c r="V24" s="76"/>
      <c r="W24" s="76"/>
      <c r="X24" s="76"/>
      <c r="Y24" s="76"/>
      <c r="Z24" s="76"/>
      <c r="AA24" s="76"/>
      <c r="AB24" s="76"/>
      <c r="AC24" s="76"/>
      <c r="AD24" s="76"/>
      <c r="AE24" s="76"/>
      <c r="AF24" s="76"/>
      <c r="AG24" s="76"/>
      <c r="AH24" s="51" t="str">
        <f t="shared" si="3"/>
        <v/>
      </c>
      <c r="AI24" s="51" t="str">
        <f t="shared" si="4"/>
        <v/>
      </c>
      <c r="AJ24" s="51" t="str">
        <f t="shared" si="5"/>
        <v/>
      </c>
      <c r="AK24" s="78"/>
    </row>
    <row r="25" ht="15.75" customHeight="1">
      <c r="A25" s="50"/>
      <c r="B25" s="50"/>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c r="AF25" s="76"/>
      <c r="AG25" s="76"/>
      <c r="AH25" s="51" t="str">
        <f t="shared" si="3"/>
        <v/>
      </c>
      <c r="AI25" s="51" t="str">
        <f t="shared" si="4"/>
        <v/>
      </c>
      <c r="AJ25" s="51" t="str">
        <f t="shared" si="5"/>
        <v/>
      </c>
      <c r="AK25" s="78"/>
    </row>
    <row r="26" ht="15.75" customHeight="1">
      <c r="A26" s="50"/>
      <c r="B26" s="50"/>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51" t="str">
        <f t="shared" si="3"/>
        <v/>
      </c>
      <c r="AI26" s="51" t="str">
        <f t="shared" si="4"/>
        <v/>
      </c>
      <c r="AJ26" s="51" t="str">
        <f t="shared" si="5"/>
        <v/>
      </c>
      <c r="AK26" s="78"/>
    </row>
    <row r="27" ht="15.75" customHeight="1">
      <c r="A27" s="50"/>
      <c r="B27" s="50"/>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51" t="str">
        <f t="shared" si="3"/>
        <v/>
      </c>
      <c r="AI27" s="51" t="str">
        <f t="shared" si="4"/>
        <v/>
      </c>
      <c r="AJ27" s="51" t="str">
        <f t="shared" si="5"/>
        <v/>
      </c>
      <c r="AK27" s="78"/>
    </row>
    <row r="28" ht="15.75" customHeight="1">
      <c r="A28" s="50"/>
      <c r="B28" s="50"/>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51" t="str">
        <f t="shared" si="3"/>
        <v/>
      </c>
      <c r="AI28" s="51" t="str">
        <f t="shared" si="4"/>
        <v/>
      </c>
      <c r="AJ28" s="51" t="str">
        <f t="shared" si="5"/>
        <v/>
      </c>
      <c r="AK28" s="78"/>
    </row>
    <row r="29" ht="15.75" customHeight="1">
      <c r="A29" s="50"/>
      <c r="B29" s="50"/>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c r="AF29" s="76"/>
      <c r="AG29" s="76"/>
      <c r="AH29" s="51" t="str">
        <f t="shared" si="3"/>
        <v/>
      </c>
      <c r="AI29" s="51" t="str">
        <f t="shared" si="4"/>
        <v/>
      </c>
      <c r="AJ29" s="51" t="str">
        <f t="shared" si="5"/>
        <v/>
      </c>
      <c r="AK29" s="78"/>
    </row>
    <row r="30" ht="15.75" customHeight="1">
      <c r="A30" s="50"/>
      <c r="B30" s="50"/>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6"/>
      <c r="AD30" s="76"/>
      <c r="AE30" s="76"/>
      <c r="AF30" s="76"/>
      <c r="AG30" s="76"/>
      <c r="AH30" s="51" t="str">
        <f t="shared" si="3"/>
        <v/>
      </c>
      <c r="AI30" s="51" t="str">
        <f t="shared" si="4"/>
        <v/>
      </c>
      <c r="AJ30" s="51" t="str">
        <f t="shared" si="5"/>
        <v/>
      </c>
      <c r="AK30" s="78"/>
    </row>
    <row r="31" ht="15.75" customHeight="1">
      <c r="A31" s="50"/>
      <c r="B31" s="50"/>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c r="AF31" s="76"/>
      <c r="AG31" s="76"/>
      <c r="AH31" s="51" t="str">
        <f t="shared" si="3"/>
        <v/>
      </c>
      <c r="AI31" s="51" t="str">
        <f t="shared" si="4"/>
        <v/>
      </c>
      <c r="AJ31" s="51" t="str">
        <f t="shared" si="5"/>
        <v/>
      </c>
      <c r="AK31" s="78"/>
    </row>
    <row r="32" ht="15.75" customHeight="1">
      <c r="A32" s="50"/>
      <c r="B32" s="50"/>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51" t="str">
        <f t="shared" si="3"/>
        <v/>
      </c>
      <c r="AI32" s="51" t="str">
        <f t="shared" si="4"/>
        <v/>
      </c>
      <c r="AJ32" s="51" t="str">
        <f t="shared" si="5"/>
        <v/>
      </c>
      <c r="AK32" s="78"/>
    </row>
    <row r="33" ht="15.75" customHeight="1">
      <c r="A33" s="50"/>
      <c r="B33" s="50"/>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c r="AF33" s="76"/>
      <c r="AG33" s="76"/>
      <c r="AH33" s="51" t="str">
        <f t="shared" si="3"/>
        <v/>
      </c>
      <c r="AI33" s="51" t="str">
        <f t="shared" si="4"/>
        <v/>
      </c>
      <c r="AJ33" s="51" t="str">
        <f t="shared" si="5"/>
        <v/>
      </c>
      <c r="AK33" s="78"/>
    </row>
    <row r="34" ht="15.75" customHeight="1">
      <c r="A34" s="50"/>
      <c r="B34" s="50"/>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c r="AF34" s="76"/>
      <c r="AG34" s="76"/>
      <c r="AH34" s="51" t="str">
        <f t="shared" si="3"/>
        <v/>
      </c>
      <c r="AI34" s="51" t="str">
        <f t="shared" si="4"/>
        <v/>
      </c>
      <c r="AJ34" s="51" t="str">
        <f t="shared" si="5"/>
        <v/>
      </c>
      <c r="AK34" s="78"/>
    </row>
    <row r="35" ht="15.75" customHeight="1">
      <c r="A35" s="50"/>
      <c r="B35" s="50"/>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6"/>
      <c r="AF35" s="76"/>
      <c r="AG35" s="76"/>
      <c r="AH35" s="51" t="str">
        <f t="shared" si="3"/>
        <v/>
      </c>
      <c r="AI35" s="51" t="str">
        <f t="shared" si="4"/>
        <v/>
      </c>
      <c r="AJ35" s="51" t="str">
        <f t="shared" si="5"/>
        <v/>
      </c>
      <c r="AK35" s="78"/>
    </row>
    <row r="36" ht="15.75" customHeight="1">
      <c r="A36" s="50"/>
      <c r="B36" s="50"/>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51" t="str">
        <f t="shared" si="3"/>
        <v/>
      </c>
      <c r="AI36" s="51" t="str">
        <f t="shared" si="4"/>
        <v/>
      </c>
      <c r="AJ36" s="51" t="str">
        <f t="shared" si="5"/>
        <v/>
      </c>
      <c r="AK36" s="78"/>
    </row>
    <row r="37" ht="15.75" customHeight="1">
      <c r="A37" s="50"/>
      <c r="B37" s="50"/>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51" t="str">
        <f t="shared" si="3"/>
        <v/>
      </c>
      <c r="AI37" s="51" t="str">
        <f t="shared" si="4"/>
        <v/>
      </c>
      <c r="AJ37" s="51" t="str">
        <f t="shared" si="5"/>
        <v/>
      </c>
      <c r="AK37" s="78"/>
    </row>
    <row r="38" ht="15.75" customHeight="1">
      <c r="A38" s="50"/>
      <c r="B38" s="50"/>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6"/>
      <c r="AC38" s="76"/>
      <c r="AD38" s="76"/>
      <c r="AE38" s="76"/>
      <c r="AF38" s="76"/>
      <c r="AG38" s="76"/>
      <c r="AH38" s="51" t="str">
        <f t="shared" si="3"/>
        <v/>
      </c>
      <c r="AI38" s="51" t="str">
        <f t="shared" si="4"/>
        <v/>
      </c>
      <c r="AJ38" s="51" t="str">
        <f t="shared" si="5"/>
        <v/>
      </c>
      <c r="AK38" s="78"/>
    </row>
    <row r="39" ht="15.75" customHeight="1">
      <c r="A39" s="50"/>
      <c r="B39" s="50"/>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51" t="str">
        <f t="shared" si="3"/>
        <v/>
      </c>
      <c r="AI39" s="51" t="str">
        <f t="shared" si="4"/>
        <v/>
      </c>
      <c r="AJ39" s="51" t="str">
        <f t="shared" si="5"/>
        <v/>
      </c>
      <c r="AK39" s="78"/>
    </row>
    <row r="40" ht="15.75" customHeight="1">
      <c r="A40" s="50"/>
      <c r="B40" s="50"/>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51" t="str">
        <f t="shared" si="3"/>
        <v/>
      </c>
      <c r="AI40" s="51" t="str">
        <f t="shared" si="4"/>
        <v/>
      </c>
      <c r="AJ40" s="51" t="str">
        <f t="shared" si="5"/>
        <v/>
      </c>
      <c r="AK40" s="78"/>
    </row>
    <row r="41" ht="15.75" customHeight="1">
      <c r="A41" s="50"/>
      <c r="B41" s="50"/>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c r="AF41" s="76"/>
      <c r="AG41" s="76"/>
      <c r="AH41" s="51" t="str">
        <f t="shared" si="3"/>
        <v/>
      </c>
      <c r="AI41" s="51" t="str">
        <f t="shared" si="4"/>
        <v/>
      </c>
      <c r="AJ41" s="51" t="str">
        <f t="shared" si="5"/>
        <v/>
      </c>
      <c r="AK41" s="78"/>
    </row>
    <row r="42" ht="15.75" customHeight="1">
      <c r="A42" s="50"/>
      <c r="B42" s="50"/>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51" t="str">
        <f t="shared" si="3"/>
        <v/>
      </c>
      <c r="AI42" s="51" t="str">
        <f t="shared" si="4"/>
        <v/>
      </c>
      <c r="AJ42" s="51" t="str">
        <f t="shared" si="5"/>
        <v/>
      </c>
      <c r="AK42" s="78"/>
    </row>
    <row r="43" ht="15.75" customHeight="1">
      <c r="A43" s="50"/>
      <c r="B43" s="50"/>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51" t="str">
        <f t="shared" si="3"/>
        <v/>
      </c>
      <c r="AI43" s="51" t="str">
        <f t="shared" si="4"/>
        <v/>
      </c>
      <c r="AJ43" s="51" t="str">
        <f t="shared" si="5"/>
        <v/>
      </c>
      <c r="AK43" s="78"/>
    </row>
    <row r="44" ht="15.75" customHeight="1">
      <c r="A44" s="50"/>
      <c r="B44" s="50"/>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51" t="str">
        <f t="shared" si="3"/>
        <v/>
      </c>
      <c r="AI44" s="51" t="str">
        <f t="shared" si="4"/>
        <v/>
      </c>
      <c r="AJ44" s="51" t="str">
        <f t="shared" si="5"/>
        <v/>
      </c>
      <c r="AK44" s="78"/>
    </row>
    <row r="45" ht="15.75" customHeight="1">
      <c r="A45" s="50"/>
      <c r="B45" s="50"/>
      <c r="C45" s="76"/>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51" t="str">
        <f t="shared" si="3"/>
        <v/>
      </c>
      <c r="AI45" s="51" t="str">
        <f t="shared" si="4"/>
        <v/>
      </c>
      <c r="AJ45" s="51" t="str">
        <f t="shared" si="5"/>
        <v/>
      </c>
      <c r="AK45" s="78"/>
    </row>
    <row r="46" ht="15.75" customHeight="1">
      <c r="A46" s="50"/>
      <c r="B46" s="50"/>
      <c r="C46" s="76"/>
      <c r="D46" s="76"/>
      <c r="E46" s="76"/>
      <c r="F46" s="76"/>
      <c r="G46" s="76"/>
      <c r="H46" s="76"/>
      <c r="I46" s="76"/>
      <c r="J46" s="76"/>
      <c r="K46" s="76"/>
      <c r="L46" s="76"/>
      <c r="M46" s="76"/>
      <c r="N46" s="76"/>
      <c r="O46" s="76"/>
      <c r="P46" s="76"/>
      <c r="Q46" s="76"/>
      <c r="R46" s="76"/>
      <c r="S46" s="76"/>
      <c r="T46" s="76"/>
      <c r="U46" s="76"/>
      <c r="V46" s="76"/>
      <c r="W46" s="76"/>
      <c r="X46" s="76"/>
      <c r="Y46" s="76"/>
      <c r="Z46" s="76"/>
      <c r="AA46" s="76"/>
      <c r="AB46" s="76"/>
      <c r="AC46" s="76"/>
      <c r="AD46" s="76"/>
      <c r="AE46" s="76"/>
      <c r="AF46" s="76"/>
      <c r="AG46" s="76"/>
      <c r="AH46" s="51" t="str">
        <f t="shared" si="3"/>
        <v/>
      </c>
      <c r="AI46" s="51" t="str">
        <f t="shared" si="4"/>
        <v/>
      </c>
      <c r="AJ46" s="51" t="str">
        <f t="shared" si="5"/>
        <v/>
      </c>
      <c r="AK46" s="78"/>
    </row>
    <row r="47" ht="15.75" customHeight="1">
      <c r="A47" s="50"/>
      <c r="B47" s="50"/>
      <c r="C47" s="76"/>
      <c r="D47" s="76"/>
      <c r="E47" s="76"/>
      <c r="F47" s="76"/>
      <c r="G47" s="76"/>
      <c r="H47" s="76"/>
      <c r="I47" s="76"/>
      <c r="J47" s="76"/>
      <c r="K47" s="76"/>
      <c r="L47" s="76"/>
      <c r="M47" s="76"/>
      <c r="N47" s="76"/>
      <c r="O47" s="76"/>
      <c r="P47" s="76"/>
      <c r="Q47" s="76"/>
      <c r="R47" s="76"/>
      <c r="S47" s="76"/>
      <c r="T47" s="76"/>
      <c r="U47" s="76"/>
      <c r="V47" s="76"/>
      <c r="W47" s="76"/>
      <c r="X47" s="76"/>
      <c r="Y47" s="76"/>
      <c r="Z47" s="76"/>
      <c r="AA47" s="76"/>
      <c r="AB47" s="76"/>
      <c r="AC47" s="76"/>
      <c r="AD47" s="76"/>
      <c r="AE47" s="76"/>
      <c r="AF47" s="76"/>
      <c r="AG47" s="76"/>
      <c r="AH47" s="51" t="str">
        <f t="shared" si="3"/>
        <v/>
      </c>
      <c r="AI47" s="51" t="str">
        <f t="shared" si="4"/>
        <v/>
      </c>
      <c r="AJ47" s="51" t="str">
        <f t="shared" si="5"/>
        <v/>
      </c>
      <c r="AK47" s="78"/>
    </row>
    <row r="48" ht="15.75" customHeight="1">
      <c r="A48" s="50"/>
      <c r="B48" s="50"/>
      <c r="C48" s="76"/>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51" t="str">
        <f t="shared" si="3"/>
        <v/>
      </c>
      <c r="AI48" s="51" t="str">
        <f t="shared" si="4"/>
        <v/>
      </c>
      <c r="AJ48" s="51" t="str">
        <f t="shared" si="5"/>
        <v/>
      </c>
      <c r="AK48" s="78"/>
    </row>
    <row r="49" ht="15.75" customHeight="1">
      <c r="A49" s="50"/>
      <c r="B49" s="50"/>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51" t="str">
        <f t="shared" si="3"/>
        <v/>
      </c>
      <c r="AI49" s="51" t="str">
        <f t="shared" si="4"/>
        <v/>
      </c>
      <c r="AJ49" s="51" t="str">
        <f t="shared" si="5"/>
        <v/>
      </c>
      <c r="AK49" s="78"/>
    </row>
    <row r="50" ht="15.75" customHeight="1">
      <c r="A50" s="50"/>
      <c r="B50" s="50"/>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51" t="str">
        <f t="shared" si="3"/>
        <v/>
      </c>
      <c r="AI50" s="51" t="str">
        <f t="shared" si="4"/>
        <v/>
      </c>
      <c r="AJ50" s="51" t="str">
        <f t="shared" si="5"/>
        <v/>
      </c>
      <c r="AK50" s="78"/>
    </row>
    <row r="51" ht="15.75" customHeight="1">
      <c r="A51" s="50"/>
      <c r="B51" s="50"/>
      <c r="C51" s="76"/>
      <c r="D51" s="76"/>
      <c r="E51" s="76"/>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51"/>
      <c r="AI51" s="51"/>
      <c r="AJ51" s="51"/>
      <c r="AK51" s="14"/>
    </row>
    <row r="52" ht="15.75" customHeight="1">
      <c r="A52" s="50"/>
      <c r="B52" s="50"/>
      <c r="C52" s="76"/>
      <c r="D52" s="76"/>
      <c r="E52" s="76"/>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51"/>
      <c r="AI52" s="51"/>
      <c r="AJ52" s="51"/>
      <c r="AK52" s="14"/>
    </row>
    <row r="53" ht="15.75" customHeight="1">
      <c r="A53" s="50"/>
      <c r="B53" s="50"/>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51"/>
      <c r="AI53" s="51"/>
      <c r="AJ53" s="51"/>
      <c r="AK53" s="14"/>
    </row>
    <row r="54" ht="15.75" customHeight="1">
      <c r="A54" s="50"/>
      <c r="B54" s="50"/>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51"/>
      <c r="AI54" s="51"/>
      <c r="AJ54" s="51"/>
      <c r="AK54" s="14"/>
    </row>
    <row r="55" ht="15.75" customHeight="1">
      <c r="A55" s="50"/>
      <c r="B55" s="50"/>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51"/>
      <c r="AI55" s="51"/>
      <c r="AJ55" s="51"/>
      <c r="AK55" s="14"/>
    </row>
    <row r="56" ht="15.75" customHeight="1">
      <c r="A56" s="50"/>
      <c r="B56" s="50"/>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51"/>
      <c r="AI56" s="51"/>
      <c r="AJ56" s="51"/>
      <c r="AK56" s="14"/>
    </row>
    <row r="57" ht="15.75" customHeight="1">
      <c r="A57" s="50"/>
      <c r="B57" s="50"/>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51"/>
      <c r="AI57" s="51"/>
      <c r="AJ57" s="51"/>
      <c r="AK57" s="14"/>
    </row>
    <row r="58" ht="15.75" customHeight="1">
      <c r="A58" s="50"/>
      <c r="B58" s="50"/>
      <c r="C58" s="76"/>
      <c r="D58" s="76"/>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51"/>
      <c r="AI58" s="51"/>
      <c r="AJ58" s="51"/>
      <c r="AK58" s="14"/>
    </row>
    <row r="59" ht="15.75" customHeight="1">
      <c r="A59" s="50"/>
      <c r="B59" s="50"/>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51"/>
      <c r="AI59" s="51"/>
      <c r="AJ59" s="51"/>
      <c r="AK59" s="14"/>
    </row>
    <row r="60" ht="15.75" customHeight="1">
      <c r="A60" s="50"/>
      <c r="B60" s="50"/>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51"/>
      <c r="AI60" s="51"/>
      <c r="AJ60" s="51"/>
      <c r="AK60" s="14"/>
    </row>
    <row r="61" ht="15.75" customHeight="1">
      <c r="A61" s="50"/>
      <c r="B61" s="50"/>
      <c r="C61" s="76"/>
      <c r="D61" s="76"/>
      <c r="E61" s="76"/>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51"/>
      <c r="AI61" s="51"/>
      <c r="AJ61" s="51"/>
      <c r="AK61" s="14"/>
    </row>
    <row r="62" ht="15.75" customHeight="1">
      <c r="A62" s="50"/>
      <c r="B62" s="50"/>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51"/>
      <c r="AI62" s="51"/>
      <c r="AJ62" s="51"/>
      <c r="AK62" s="14"/>
    </row>
    <row r="63" ht="15.75" customHeight="1">
      <c r="A63" s="50"/>
      <c r="B63" s="50"/>
      <c r="C63" s="76"/>
      <c r="D63" s="76"/>
      <c r="E63" s="76"/>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51"/>
      <c r="AI63" s="51"/>
      <c r="AJ63" s="51"/>
      <c r="AK63" s="14"/>
    </row>
    <row r="64" ht="15.75" customHeight="1">
      <c r="A64" s="50"/>
      <c r="B64" s="50"/>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51"/>
      <c r="AI64" s="51"/>
      <c r="AJ64" s="51"/>
      <c r="AK64" s="14"/>
    </row>
    <row r="65" ht="15.75" customHeight="1">
      <c r="A65" s="50"/>
      <c r="B65" s="50"/>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51"/>
      <c r="AI65" s="51"/>
      <c r="AJ65" s="51"/>
      <c r="AK65" s="14"/>
    </row>
    <row r="66" ht="15.75" customHeight="1">
      <c r="A66" s="50"/>
      <c r="B66" s="50"/>
      <c r="C66" s="76"/>
      <c r="D66" s="76"/>
      <c r="E66" s="76"/>
      <c r="F66" s="76"/>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51"/>
      <c r="AI66" s="51"/>
      <c r="AJ66" s="51"/>
      <c r="AK66" s="14"/>
    </row>
    <row r="67" ht="15.75" customHeight="1">
      <c r="A67" s="50"/>
      <c r="B67" s="50"/>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51"/>
      <c r="AI67" s="51"/>
      <c r="AJ67" s="51"/>
      <c r="AK67" s="14"/>
    </row>
    <row r="68" ht="15.75" customHeight="1">
      <c r="A68" s="50"/>
      <c r="B68" s="50"/>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51"/>
      <c r="AI68" s="51"/>
      <c r="AJ68" s="51"/>
      <c r="AK68" s="14"/>
    </row>
    <row r="69" ht="15.75" customHeight="1">
      <c r="A69" s="50"/>
      <c r="B69" s="50"/>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51"/>
      <c r="AI69" s="51"/>
      <c r="AJ69" s="51"/>
      <c r="AK69" s="14"/>
    </row>
    <row r="70" ht="15.75" customHeight="1">
      <c r="A70" s="50"/>
      <c r="B70" s="50"/>
      <c r="C70" s="76"/>
      <c r="D70" s="76"/>
      <c r="E70" s="76"/>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51"/>
      <c r="AI70" s="51"/>
      <c r="AJ70" s="51"/>
      <c r="AK70" s="14"/>
    </row>
    <row r="71" ht="15.75" customHeight="1">
      <c r="A71" s="50"/>
      <c r="B71" s="50"/>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51"/>
      <c r="AI71" s="51"/>
      <c r="AJ71" s="51"/>
      <c r="AK71" s="14"/>
    </row>
    <row r="72" ht="15.75" customHeight="1">
      <c r="A72" s="50"/>
      <c r="B72" s="50"/>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51"/>
      <c r="AI72" s="51"/>
      <c r="AJ72" s="51"/>
      <c r="AK72" s="14"/>
    </row>
    <row r="73" ht="15.75" customHeight="1">
      <c r="A73" s="50"/>
      <c r="B73" s="50"/>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51"/>
      <c r="AI73" s="51"/>
      <c r="AJ73" s="51"/>
      <c r="AK73" s="14"/>
    </row>
    <row r="74" ht="15.75" customHeight="1">
      <c r="A74" s="50"/>
      <c r="B74" s="50"/>
      <c r="C74" s="76"/>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51"/>
      <c r="AI74" s="51"/>
      <c r="AJ74" s="51"/>
      <c r="AK74" s="14"/>
    </row>
    <row r="75" ht="15.75" customHeight="1">
      <c r="A75" s="50"/>
      <c r="B75" s="50"/>
      <c r="C75" s="76"/>
      <c r="D75" s="76"/>
      <c r="E75" s="76"/>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51"/>
      <c r="AI75" s="51"/>
      <c r="AJ75" s="51"/>
      <c r="AK75" s="14"/>
    </row>
    <row r="76" ht="15.75" customHeight="1">
      <c r="A76" s="50"/>
      <c r="B76" s="50"/>
      <c r="C76" s="76"/>
      <c r="D76" s="76"/>
      <c r="E76" s="76"/>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51"/>
      <c r="AI76" s="51"/>
      <c r="AJ76" s="51"/>
      <c r="AK76" s="14"/>
    </row>
    <row r="77" ht="15.75" customHeight="1">
      <c r="A77" s="50"/>
      <c r="B77" s="50"/>
      <c r="C77" s="76"/>
      <c r="D77" s="76"/>
      <c r="E77" s="76"/>
      <c r="F77" s="76"/>
      <c r="G77" s="76"/>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51"/>
      <c r="AI77" s="51"/>
      <c r="AJ77" s="51"/>
      <c r="AK77" s="14"/>
    </row>
    <row r="78" ht="15.75" customHeight="1">
      <c r="A78" s="50"/>
      <c r="B78" s="50"/>
      <c r="C78" s="76"/>
      <c r="D78" s="76"/>
      <c r="E78" s="76"/>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51"/>
      <c r="AI78" s="51"/>
      <c r="AJ78" s="51"/>
      <c r="AK78" s="14"/>
    </row>
    <row r="79" ht="15.75" customHeight="1">
      <c r="A79" s="50"/>
      <c r="B79" s="50"/>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51"/>
      <c r="AI79" s="51"/>
      <c r="AJ79" s="51"/>
      <c r="AK79" s="14"/>
    </row>
    <row r="80" ht="15.75" customHeight="1">
      <c r="A80" s="50"/>
      <c r="B80" s="50"/>
      <c r="C80" s="76"/>
      <c r="D80" s="76"/>
      <c r="E80" s="76"/>
      <c r="F80" s="76"/>
      <c r="G80" s="76"/>
      <c r="H80" s="76"/>
      <c r="I80" s="76"/>
      <c r="J80" s="76"/>
      <c r="K80" s="76"/>
      <c r="L80" s="76"/>
      <c r="M80" s="76"/>
      <c r="N80" s="76"/>
      <c r="O80" s="76"/>
      <c r="P80" s="76"/>
      <c r="Q80" s="76"/>
      <c r="R80" s="76"/>
      <c r="S80" s="76"/>
      <c r="T80" s="76"/>
      <c r="U80" s="76"/>
      <c r="V80" s="76"/>
      <c r="W80" s="76"/>
      <c r="X80" s="76"/>
      <c r="Y80" s="76"/>
      <c r="Z80" s="76"/>
      <c r="AA80" s="76"/>
      <c r="AB80" s="76"/>
      <c r="AC80" s="76"/>
      <c r="AD80" s="76"/>
      <c r="AE80" s="76"/>
      <c r="AF80" s="76"/>
      <c r="AG80" s="76"/>
      <c r="AH80" s="51"/>
      <c r="AI80" s="51"/>
      <c r="AJ80" s="51"/>
      <c r="AK80" s="14"/>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K1"/>
  </mergeCells>
  <conditionalFormatting sqref="C21:AG50">
    <cfRule type="expression" dxfId="5" priority="1">
      <formula>C$19&lt;&gt;1</formula>
    </cfRule>
  </conditionalFormatting>
  <conditionalFormatting sqref="C21:AG80">
    <cfRule type="expression" dxfId="0" priority="2">
      <formula>C21="C"</formula>
    </cfRule>
  </conditionalFormatting>
  <conditionalFormatting sqref="C21:AG80">
    <cfRule type="expression" dxfId="1" priority="3">
      <formula>C21="N"</formula>
    </cfRule>
  </conditionalFormatting>
  <conditionalFormatting sqref="C17:AG20">
    <cfRule type="expression" dxfId="6" priority="4">
      <formula>C$19=1</formula>
    </cfRule>
  </conditionalFormatting>
  <dataValidations>
    <dataValidation type="list" allowBlank="1" sqref="C21:AG80">
      <formula1>"C,N"</formula1>
    </dataValidation>
  </dataValidations>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24.0"/>
    <col customWidth="1" min="3" max="33" width="5.0"/>
    <col customWidth="1" min="34" max="36" width="13.0"/>
    <col customWidth="1" min="37" max="37" width="42.0"/>
  </cols>
  <sheetData>
    <row r="1" ht="30.0" customHeight="1">
      <c r="A1" s="64" t="s">
        <v>377</v>
      </c>
    </row>
    <row r="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ht="18.0" customHeight="1">
      <c r="A3" s="67" t="s">
        <v>10</v>
      </c>
      <c r="B3" s="51" t="str">
        <f>IFERROR(DANH_MUC_LOP!$B$13,"")</f>
        <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ht="18.0" customHeight="1">
      <c r="A4" s="67" t="s">
        <v>76</v>
      </c>
      <c r="B4" s="68">
        <f>IFERROR(DIEU_KHIEN!$B$4,"")</f>
        <v>46235</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row>
    <row r="5" ht="18.0" customHeight="1">
      <c r="A5" s="67" t="s">
        <v>19</v>
      </c>
      <c r="B5" s="51" t="str">
        <f>IFERROR(DANH_MUC_LOP!$C$13,"")</f>
        <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row>
    <row r="6" ht="18.0" customHeight="1">
      <c r="A6" s="67" t="s">
        <v>21</v>
      </c>
      <c r="B6" s="51" t="str">
        <f>IFERROR(DANH_MUC_LOP!$D$13,"")</f>
        <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row>
    <row r="7" ht="18.0" customHeight="1">
      <c r="A7" s="67" t="s">
        <v>22</v>
      </c>
      <c r="B7" s="51" t="str">
        <f>IFERROR(DANH_MUC_LOP!$E$13,"")</f>
        <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row>
    <row r="8" ht="18.0" customHeight="1">
      <c r="A8" s="67" t="s">
        <v>23</v>
      </c>
      <c r="B8" s="43" t="str">
        <f>IFERROR(DANH_MUC_LOP!$F$13,"")</f>
        <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row>
    <row r="9" ht="18.0" customHeight="1">
      <c r="A9" s="67" t="s">
        <v>195</v>
      </c>
      <c r="B9" s="51" t="str">
        <f>IFERROR(DANH_MUC_LOP!$G$13,"")</f>
        <v>Không</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row>
    <row r="10" ht="18.0" customHeight="1">
      <c r="A10" s="67" t="s">
        <v>197</v>
      </c>
      <c r="B10" s="51" t="str">
        <f>IFERROR(DANH_MUC_LOP!$H$13,"")</f>
        <v>Không</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row>
    <row r="11" ht="18.0" customHeight="1">
      <c r="A11" s="67" t="s">
        <v>199</v>
      </c>
      <c r="B11" s="51" t="str">
        <f>IFERROR(DANH_MUC_LOP!$I$13,"")</f>
        <v>Không</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row>
    <row r="12" ht="18.0" customHeight="1">
      <c r="A12" s="67" t="s">
        <v>201</v>
      </c>
      <c r="B12" s="51" t="str">
        <f>IFERROR(DANH_MUC_LOP!$J$13,"")</f>
        <v>Không</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row>
    <row r="13" ht="18.0" customHeight="1">
      <c r="A13" s="67" t="s">
        <v>203</v>
      </c>
      <c r="B13" s="51" t="str">
        <f>IFERROR(DANH_MUC_LOP!$K$13,"")</f>
        <v>Không</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row>
    <row r="14" ht="18.0" customHeight="1">
      <c r="A14" s="67" t="s">
        <v>205</v>
      </c>
      <c r="B14" s="51" t="str">
        <f>IFERROR(DANH_MUC_LOP!$L$13,"")</f>
        <v>Không</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ht="18.0" customHeight="1">
      <c r="A15" s="67" t="s">
        <v>206</v>
      </c>
      <c r="B15" s="51" t="str">
        <f>IFERROR(DANH_MUC_LOP!$M$13,"")</f>
        <v>Không</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row>
    <row r="16" ht="18.0" customHeight="1">
      <c r="A16" s="67" t="s">
        <v>209</v>
      </c>
      <c r="B16" s="51" t="str">
        <f>IFERROR(IF(DANH_MUC_LOP!$R$13&gt;0,DANH_MUC_LOP!$R$13,SUM(C19:AG19)),SUM(C19:AG19))</f>
        <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row>
    <row r="17">
      <c r="A17" s="4" t="s">
        <v>212</v>
      </c>
      <c r="B17" s="4"/>
      <c r="C17" s="71">
        <v>1.0</v>
      </c>
      <c r="D17" s="71">
        <v>2.0</v>
      </c>
      <c r="E17" s="71">
        <v>3.0</v>
      </c>
      <c r="F17" s="71">
        <v>4.0</v>
      </c>
      <c r="G17" s="71">
        <v>5.0</v>
      </c>
      <c r="H17" s="71">
        <v>6.0</v>
      </c>
      <c r="I17" s="71">
        <v>7.0</v>
      </c>
      <c r="J17" s="71">
        <v>8.0</v>
      </c>
      <c r="K17" s="71">
        <v>9.0</v>
      </c>
      <c r="L17" s="71">
        <v>10.0</v>
      </c>
      <c r="M17" s="71">
        <v>11.0</v>
      </c>
      <c r="N17" s="71">
        <v>12.0</v>
      </c>
      <c r="O17" s="71">
        <v>13.0</v>
      </c>
      <c r="P17" s="71">
        <v>14.0</v>
      </c>
      <c r="Q17" s="71">
        <v>15.0</v>
      </c>
      <c r="R17" s="71">
        <v>16.0</v>
      </c>
      <c r="S17" s="71">
        <v>17.0</v>
      </c>
      <c r="T17" s="71">
        <v>18.0</v>
      </c>
      <c r="U17" s="71">
        <v>19.0</v>
      </c>
      <c r="V17" s="71">
        <v>20.0</v>
      </c>
      <c r="W17" s="71">
        <v>21.0</v>
      </c>
      <c r="X17" s="71">
        <v>22.0</v>
      </c>
      <c r="Y17" s="71">
        <v>23.0</v>
      </c>
      <c r="Z17" s="71">
        <v>24.0</v>
      </c>
      <c r="AA17" s="71">
        <v>25.0</v>
      </c>
      <c r="AB17" s="71">
        <v>26.0</v>
      </c>
      <c r="AC17" s="71">
        <v>27.0</v>
      </c>
      <c r="AD17" s="71">
        <v>28.0</v>
      </c>
      <c r="AE17" s="71">
        <v>29.0</v>
      </c>
      <c r="AF17" s="71">
        <v>30.0</v>
      </c>
      <c r="AG17" s="71">
        <v>31.0</v>
      </c>
      <c r="AH17" s="72"/>
      <c r="AI17" s="72"/>
      <c r="AJ17" s="72"/>
      <c r="AK17" s="72"/>
    </row>
    <row r="18">
      <c r="A18" s="4" t="s">
        <v>5</v>
      </c>
      <c r="B18" s="4"/>
      <c r="C18" s="74">
        <f t="shared" ref="C18:AG18" si="1">IFERROR(IF(MONTH(DATE(YEAR($B$4),MONTH($B$4),C$17))=MONTH($B$4),DATE(YEAR($B$4),MONTH($B$4),C$17),""),"")</f>
        <v>46235</v>
      </c>
      <c r="D18" s="74">
        <f t="shared" si="1"/>
        <v>46236</v>
      </c>
      <c r="E18" s="74">
        <f t="shared" si="1"/>
        <v>46237</v>
      </c>
      <c r="F18" s="74">
        <f t="shared" si="1"/>
        <v>46238</v>
      </c>
      <c r="G18" s="74">
        <f t="shared" si="1"/>
        <v>46239</v>
      </c>
      <c r="H18" s="74">
        <f t="shared" si="1"/>
        <v>46240</v>
      </c>
      <c r="I18" s="74">
        <f t="shared" si="1"/>
        <v>46241</v>
      </c>
      <c r="J18" s="74">
        <f t="shared" si="1"/>
        <v>46242</v>
      </c>
      <c r="K18" s="74">
        <f t="shared" si="1"/>
        <v>46243</v>
      </c>
      <c r="L18" s="74">
        <f t="shared" si="1"/>
        <v>46244</v>
      </c>
      <c r="M18" s="74">
        <f t="shared" si="1"/>
        <v>46245</v>
      </c>
      <c r="N18" s="74">
        <f t="shared" si="1"/>
        <v>46246</v>
      </c>
      <c r="O18" s="74">
        <f t="shared" si="1"/>
        <v>46247</v>
      </c>
      <c r="P18" s="74">
        <f t="shared" si="1"/>
        <v>46248</v>
      </c>
      <c r="Q18" s="74">
        <f t="shared" si="1"/>
        <v>46249</v>
      </c>
      <c r="R18" s="74">
        <f t="shared" si="1"/>
        <v>46250</v>
      </c>
      <c r="S18" s="74">
        <f t="shared" si="1"/>
        <v>46251</v>
      </c>
      <c r="T18" s="74">
        <f t="shared" si="1"/>
        <v>46252</v>
      </c>
      <c r="U18" s="74">
        <f t="shared" si="1"/>
        <v>46253</v>
      </c>
      <c r="V18" s="74">
        <f t="shared" si="1"/>
        <v>46254</v>
      </c>
      <c r="W18" s="74">
        <f t="shared" si="1"/>
        <v>46255</v>
      </c>
      <c r="X18" s="74">
        <f t="shared" si="1"/>
        <v>46256</v>
      </c>
      <c r="Y18" s="74">
        <f t="shared" si="1"/>
        <v>46257</v>
      </c>
      <c r="Z18" s="74">
        <f t="shared" si="1"/>
        <v>46258</v>
      </c>
      <c r="AA18" s="74">
        <f t="shared" si="1"/>
        <v>46259</v>
      </c>
      <c r="AB18" s="74">
        <f t="shared" si="1"/>
        <v>46260</v>
      </c>
      <c r="AC18" s="74">
        <f t="shared" si="1"/>
        <v>46261</v>
      </c>
      <c r="AD18" s="74">
        <f t="shared" si="1"/>
        <v>46262</v>
      </c>
      <c r="AE18" s="74">
        <f t="shared" si="1"/>
        <v>46263</v>
      </c>
      <c r="AF18" s="74">
        <f t="shared" si="1"/>
        <v>46264</v>
      </c>
      <c r="AG18" s="74">
        <f t="shared" si="1"/>
        <v>46265</v>
      </c>
      <c r="AH18" s="72"/>
      <c r="AI18" s="72"/>
      <c r="AJ18" s="72"/>
      <c r="AK18" s="72"/>
    </row>
    <row r="19">
      <c r="A19" s="4" t="s">
        <v>215</v>
      </c>
      <c r="B19" s="4"/>
      <c r="C19" s="71">
        <f t="shared" ref="C19:AG19" si="2">IFERROR(IF(C18="","",IF(CHOOSE(WEEKDAY(C18,2),$B$9,$B$10,$B$11,$B$12,$B$13,$B$14,$B$15)="Có",1,0)),"")</f>
        <v>0</v>
      </c>
      <c r="D19" s="71">
        <f t="shared" si="2"/>
        <v>0</v>
      </c>
      <c r="E19" s="71">
        <f t="shared" si="2"/>
        <v>0</v>
      </c>
      <c r="F19" s="71">
        <f t="shared" si="2"/>
        <v>0</v>
      </c>
      <c r="G19" s="71">
        <f t="shared" si="2"/>
        <v>0</v>
      </c>
      <c r="H19" s="71">
        <f t="shared" si="2"/>
        <v>0</v>
      </c>
      <c r="I19" s="71">
        <f t="shared" si="2"/>
        <v>0</v>
      </c>
      <c r="J19" s="71">
        <f t="shared" si="2"/>
        <v>0</v>
      </c>
      <c r="K19" s="71">
        <f t="shared" si="2"/>
        <v>0</v>
      </c>
      <c r="L19" s="71">
        <f t="shared" si="2"/>
        <v>0</v>
      </c>
      <c r="M19" s="71">
        <f t="shared" si="2"/>
        <v>0</v>
      </c>
      <c r="N19" s="71">
        <f t="shared" si="2"/>
        <v>0</v>
      </c>
      <c r="O19" s="71">
        <f t="shared" si="2"/>
        <v>0</v>
      </c>
      <c r="P19" s="71">
        <f t="shared" si="2"/>
        <v>0</v>
      </c>
      <c r="Q19" s="71">
        <f t="shared" si="2"/>
        <v>0</v>
      </c>
      <c r="R19" s="71">
        <f t="shared" si="2"/>
        <v>0</v>
      </c>
      <c r="S19" s="71">
        <f t="shared" si="2"/>
        <v>0</v>
      </c>
      <c r="T19" s="71">
        <f t="shared" si="2"/>
        <v>0</v>
      </c>
      <c r="U19" s="71">
        <f t="shared" si="2"/>
        <v>0</v>
      </c>
      <c r="V19" s="71">
        <f t="shared" si="2"/>
        <v>0</v>
      </c>
      <c r="W19" s="71">
        <f t="shared" si="2"/>
        <v>0</v>
      </c>
      <c r="X19" s="71">
        <f t="shared" si="2"/>
        <v>0</v>
      </c>
      <c r="Y19" s="71">
        <f t="shared" si="2"/>
        <v>0</v>
      </c>
      <c r="Z19" s="71">
        <f t="shared" si="2"/>
        <v>0</v>
      </c>
      <c r="AA19" s="71">
        <f t="shared" si="2"/>
        <v>0</v>
      </c>
      <c r="AB19" s="71">
        <f t="shared" si="2"/>
        <v>0</v>
      </c>
      <c r="AC19" s="71">
        <f t="shared" si="2"/>
        <v>0</v>
      </c>
      <c r="AD19" s="71">
        <f t="shared" si="2"/>
        <v>0</v>
      </c>
      <c r="AE19" s="71">
        <f t="shared" si="2"/>
        <v>0</v>
      </c>
      <c r="AF19" s="71">
        <f t="shared" si="2"/>
        <v>0</v>
      </c>
      <c r="AG19" s="71">
        <f t="shared" si="2"/>
        <v>0</v>
      </c>
      <c r="AH19" s="72"/>
      <c r="AI19" s="72"/>
      <c r="AJ19" s="72"/>
      <c r="AK19" s="72"/>
    </row>
    <row r="20" ht="27.75" customHeight="1">
      <c r="A20" s="5" t="s">
        <v>14</v>
      </c>
      <c r="B20" s="5" t="s">
        <v>16</v>
      </c>
      <c r="C20" s="5" t="s">
        <v>216</v>
      </c>
      <c r="D20" s="5" t="s">
        <v>217</v>
      </c>
      <c r="E20" s="5" t="s">
        <v>218</v>
      </c>
      <c r="F20" s="5" t="s">
        <v>219</v>
      </c>
      <c r="G20" s="5" t="s">
        <v>220</v>
      </c>
      <c r="H20" s="5" t="s">
        <v>221</v>
      </c>
      <c r="I20" s="5" t="s">
        <v>222</v>
      </c>
      <c r="J20" s="5" t="s">
        <v>223</v>
      </c>
      <c r="K20" s="5" t="s">
        <v>224</v>
      </c>
      <c r="L20" s="5" t="s">
        <v>225</v>
      </c>
      <c r="M20" s="5" t="s">
        <v>226</v>
      </c>
      <c r="N20" s="5" t="s">
        <v>227</v>
      </c>
      <c r="O20" s="5" t="s">
        <v>228</v>
      </c>
      <c r="P20" s="5" t="s">
        <v>229</v>
      </c>
      <c r="Q20" s="5" t="s">
        <v>230</v>
      </c>
      <c r="R20" s="5" t="s">
        <v>231</v>
      </c>
      <c r="S20" s="5" t="s">
        <v>232</v>
      </c>
      <c r="T20" s="5" t="s">
        <v>233</v>
      </c>
      <c r="U20" s="5" t="s">
        <v>234</v>
      </c>
      <c r="V20" s="5" t="s">
        <v>235</v>
      </c>
      <c r="W20" s="5" t="s">
        <v>236</v>
      </c>
      <c r="X20" s="5" t="s">
        <v>237</v>
      </c>
      <c r="Y20" s="5" t="s">
        <v>238</v>
      </c>
      <c r="Z20" s="5" t="s">
        <v>239</v>
      </c>
      <c r="AA20" s="5" t="s">
        <v>240</v>
      </c>
      <c r="AB20" s="5" t="s">
        <v>241</v>
      </c>
      <c r="AC20" s="5" t="s">
        <v>242</v>
      </c>
      <c r="AD20" s="5" t="s">
        <v>243</v>
      </c>
      <c r="AE20" s="5" t="s">
        <v>244</v>
      </c>
      <c r="AF20" s="5" t="s">
        <v>246</v>
      </c>
      <c r="AG20" s="5" t="s">
        <v>247</v>
      </c>
      <c r="AH20" s="5" t="s">
        <v>248</v>
      </c>
      <c r="AI20" s="5" t="s">
        <v>249</v>
      </c>
      <c r="AJ20" s="5" t="s">
        <v>250</v>
      </c>
      <c r="AK20" s="5" t="s">
        <v>15</v>
      </c>
    </row>
    <row r="21" ht="15.75" customHeight="1">
      <c r="A21" s="50"/>
      <c r="B21" s="50"/>
      <c r="C21" s="76"/>
      <c r="D21" s="76"/>
      <c r="E21" s="76"/>
      <c r="F21" s="76"/>
      <c r="G21" s="76"/>
      <c r="H21" s="76"/>
      <c r="I21" s="7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51" t="str">
        <f t="shared" ref="AH21:AH50" si="3">IF(A21="","",COUNTIF(C21:AG21,"C"))</f>
        <v/>
      </c>
      <c r="AI21" s="51" t="str">
        <f t="shared" ref="AI21:AI50" si="4">IF(A21="","",COUNTIF(C21:AG21,"N")+COUNTIF(C21:AG21,"P"))</f>
        <v/>
      </c>
      <c r="AJ21" s="51" t="str">
        <f t="shared" ref="AJ21:AJ50" si="5">IF(A21="","",MAX(0,$B$16-AH21-AI21))</f>
        <v/>
      </c>
      <c r="AK21" s="78"/>
    </row>
    <row r="22" ht="15.75" customHeight="1">
      <c r="A22" s="50"/>
      <c r="B22" s="50"/>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6"/>
      <c r="AD22" s="76"/>
      <c r="AE22" s="76"/>
      <c r="AF22" s="76"/>
      <c r="AG22" s="76"/>
      <c r="AH22" s="51" t="str">
        <f t="shared" si="3"/>
        <v/>
      </c>
      <c r="AI22" s="51" t="str">
        <f t="shared" si="4"/>
        <v/>
      </c>
      <c r="AJ22" s="51" t="str">
        <f t="shared" si="5"/>
        <v/>
      </c>
      <c r="AK22" s="78"/>
    </row>
    <row r="23" ht="15.75" customHeight="1">
      <c r="A23" s="50"/>
      <c r="B23" s="50"/>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6"/>
      <c r="AD23" s="76"/>
      <c r="AE23" s="76"/>
      <c r="AF23" s="76"/>
      <c r="AG23" s="76"/>
      <c r="AH23" s="51" t="str">
        <f t="shared" si="3"/>
        <v/>
      </c>
      <c r="AI23" s="51" t="str">
        <f t="shared" si="4"/>
        <v/>
      </c>
      <c r="AJ23" s="51" t="str">
        <f t="shared" si="5"/>
        <v/>
      </c>
      <c r="AK23" s="78"/>
    </row>
    <row r="24" ht="15.75" customHeight="1">
      <c r="A24" s="50"/>
      <c r="B24" s="50"/>
      <c r="C24" s="76"/>
      <c r="D24" s="76"/>
      <c r="E24" s="76"/>
      <c r="F24" s="76"/>
      <c r="G24" s="76"/>
      <c r="H24" s="76"/>
      <c r="I24" s="76"/>
      <c r="J24" s="76"/>
      <c r="K24" s="76"/>
      <c r="L24" s="76"/>
      <c r="M24" s="76"/>
      <c r="N24" s="76"/>
      <c r="O24" s="76"/>
      <c r="P24" s="76"/>
      <c r="Q24" s="76"/>
      <c r="R24" s="76"/>
      <c r="S24" s="76"/>
      <c r="T24" s="76"/>
      <c r="U24" s="76"/>
      <c r="V24" s="76"/>
      <c r="W24" s="76"/>
      <c r="X24" s="76"/>
      <c r="Y24" s="76"/>
      <c r="Z24" s="76"/>
      <c r="AA24" s="76"/>
      <c r="AB24" s="76"/>
      <c r="AC24" s="76"/>
      <c r="AD24" s="76"/>
      <c r="AE24" s="76"/>
      <c r="AF24" s="76"/>
      <c r="AG24" s="76"/>
      <c r="AH24" s="51" t="str">
        <f t="shared" si="3"/>
        <v/>
      </c>
      <c r="AI24" s="51" t="str">
        <f t="shared" si="4"/>
        <v/>
      </c>
      <c r="AJ24" s="51" t="str">
        <f t="shared" si="5"/>
        <v/>
      </c>
      <c r="AK24" s="78"/>
    </row>
    <row r="25" ht="15.75" customHeight="1">
      <c r="A25" s="50"/>
      <c r="B25" s="50"/>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c r="AF25" s="76"/>
      <c r="AG25" s="76"/>
      <c r="AH25" s="51" t="str">
        <f t="shared" si="3"/>
        <v/>
      </c>
      <c r="AI25" s="51" t="str">
        <f t="shared" si="4"/>
        <v/>
      </c>
      <c r="AJ25" s="51" t="str">
        <f t="shared" si="5"/>
        <v/>
      </c>
      <c r="AK25" s="78"/>
    </row>
    <row r="26" ht="15.75" customHeight="1">
      <c r="A26" s="50"/>
      <c r="B26" s="50"/>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51" t="str">
        <f t="shared" si="3"/>
        <v/>
      </c>
      <c r="AI26" s="51" t="str">
        <f t="shared" si="4"/>
        <v/>
      </c>
      <c r="AJ26" s="51" t="str">
        <f t="shared" si="5"/>
        <v/>
      </c>
      <c r="AK26" s="78"/>
    </row>
    <row r="27" ht="15.75" customHeight="1">
      <c r="A27" s="50"/>
      <c r="B27" s="50"/>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51" t="str">
        <f t="shared" si="3"/>
        <v/>
      </c>
      <c r="AI27" s="51" t="str">
        <f t="shared" si="4"/>
        <v/>
      </c>
      <c r="AJ27" s="51" t="str">
        <f t="shared" si="5"/>
        <v/>
      </c>
      <c r="AK27" s="78"/>
    </row>
    <row r="28" ht="15.75" customHeight="1">
      <c r="A28" s="50"/>
      <c r="B28" s="50"/>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51" t="str">
        <f t="shared" si="3"/>
        <v/>
      </c>
      <c r="AI28" s="51" t="str">
        <f t="shared" si="4"/>
        <v/>
      </c>
      <c r="AJ28" s="51" t="str">
        <f t="shared" si="5"/>
        <v/>
      </c>
      <c r="AK28" s="78"/>
    </row>
    <row r="29" ht="15.75" customHeight="1">
      <c r="A29" s="50"/>
      <c r="B29" s="50"/>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c r="AF29" s="76"/>
      <c r="AG29" s="76"/>
      <c r="AH29" s="51" t="str">
        <f t="shared" si="3"/>
        <v/>
      </c>
      <c r="AI29" s="51" t="str">
        <f t="shared" si="4"/>
        <v/>
      </c>
      <c r="AJ29" s="51" t="str">
        <f t="shared" si="5"/>
        <v/>
      </c>
      <c r="AK29" s="78"/>
    </row>
    <row r="30" ht="15.75" customHeight="1">
      <c r="A30" s="50"/>
      <c r="B30" s="50"/>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6"/>
      <c r="AD30" s="76"/>
      <c r="AE30" s="76"/>
      <c r="AF30" s="76"/>
      <c r="AG30" s="76"/>
      <c r="AH30" s="51" t="str">
        <f t="shared" si="3"/>
        <v/>
      </c>
      <c r="AI30" s="51" t="str">
        <f t="shared" si="4"/>
        <v/>
      </c>
      <c r="AJ30" s="51" t="str">
        <f t="shared" si="5"/>
        <v/>
      </c>
      <c r="AK30" s="78"/>
    </row>
    <row r="31" ht="15.75" customHeight="1">
      <c r="A31" s="50"/>
      <c r="B31" s="50"/>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c r="AF31" s="76"/>
      <c r="AG31" s="76"/>
      <c r="AH31" s="51" t="str">
        <f t="shared" si="3"/>
        <v/>
      </c>
      <c r="AI31" s="51" t="str">
        <f t="shared" si="4"/>
        <v/>
      </c>
      <c r="AJ31" s="51" t="str">
        <f t="shared" si="5"/>
        <v/>
      </c>
      <c r="AK31" s="78"/>
    </row>
    <row r="32" ht="15.75" customHeight="1">
      <c r="A32" s="50"/>
      <c r="B32" s="50"/>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51" t="str">
        <f t="shared" si="3"/>
        <v/>
      </c>
      <c r="AI32" s="51" t="str">
        <f t="shared" si="4"/>
        <v/>
      </c>
      <c r="AJ32" s="51" t="str">
        <f t="shared" si="5"/>
        <v/>
      </c>
      <c r="AK32" s="78"/>
    </row>
    <row r="33" ht="15.75" customHeight="1">
      <c r="A33" s="50"/>
      <c r="B33" s="50"/>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c r="AF33" s="76"/>
      <c r="AG33" s="76"/>
      <c r="AH33" s="51" t="str">
        <f t="shared" si="3"/>
        <v/>
      </c>
      <c r="AI33" s="51" t="str">
        <f t="shared" si="4"/>
        <v/>
      </c>
      <c r="AJ33" s="51" t="str">
        <f t="shared" si="5"/>
        <v/>
      </c>
      <c r="AK33" s="78"/>
    </row>
    <row r="34" ht="15.75" customHeight="1">
      <c r="A34" s="50"/>
      <c r="B34" s="50"/>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c r="AF34" s="76"/>
      <c r="AG34" s="76"/>
      <c r="AH34" s="51" t="str">
        <f t="shared" si="3"/>
        <v/>
      </c>
      <c r="AI34" s="51" t="str">
        <f t="shared" si="4"/>
        <v/>
      </c>
      <c r="AJ34" s="51" t="str">
        <f t="shared" si="5"/>
        <v/>
      </c>
      <c r="AK34" s="78"/>
    </row>
    <row r="35" ht="15.75" customHeight="1">
      <c r="A35" s="50"/>
      <c r="B35" s="50"/>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6"/>
      <c r="AF35" s="76"/>
      <c r="AG35" s="76"/>
      <c r="AH35" s="51" t="str">
        <f t="shared" si="3"/>
        <v/>
      </c>
      <c r="AI35" s="51" t="str">
        <f t="shared" si="4"/>
        <v/>
      </c>
      <c r="AJ35" s="51" t="str">
        <f t="shared" si="5"/>
        <v/>
      </c>
      <c r="AK35" s="78"/>
    </row>
    <row r="36" ht="15.75" customHeight="1">
      <c r="A36" s="50"/>
      <c r="B36" s="50"/>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51" t="str">
        <f t="shared" si="3"/>
        <v/>
      </c>
      <c r="AI36" s="51" t="str">
        <f t="shared" si="4"/>
        <v/>
      </c>
      <c r="AJ36" s="51" t="str">
        <f t="shared" si="5"/>
        <v/>
      </c>
      <c r="AK36" s="78"/>
    </row>
    <row r="37" ht="15.75" customHeight="1">
      <c r="A37" s="50"/>
      <c r="B37" s="50"/>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51" t="str">
        <f t="shared" si="3"/>
        <v/>
      </c>
      <c r="AI37" s="51" t="str">
        <f t="shared" si="4"/>
        <v/>
      </c>
      <c r="AJ37" s="51" t="str">
        <f t="shared" si="5"/>
        <v/>
      </c>
      <c r="AK37" s="78"/>
    </row>
    <row r="38" ht="15.75" customHeight="1">
      <c r="A38" s="50"/>
      <c r="B38" s="50"/>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6"/>
      <c r="AC38" s="76"/>
      <c r="AD38" s="76"/>
      <c r="AE38" s="76"/>
      <c r="AF38" s="76"/>
      <c r="AG38" s="76"/>
      <c r="AH38" s="51" t="str">
        <f t="shared" si="3"/>
        <v/>
      </c>
      <c r="AI38" s="51" t="str">
        <f t="shared" si="4"/>
        <v/>
      </c>
      <c r="AJ38" s="51" t="str">
        <f t="shared" si="5"/>
        <v/>
      </c>
      <c r="AK38" s="78"/>
    </row>
    <row r="39" ht="15.75" customHeight="1">
      <c r="A39" s="50"/>
      <c r="B39" s="50"/>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51" t="str">
        <f t="shared" si="3"/>
        <v/>
      </c>
      <c r="AI39" s="51" t="str">
        <f t="shared" si="4"/>
        <v/>
      </c>
      <c r="AJ39" s="51" t="str">
        <f t="shared" si="5"/>
        <v/>
      </c>
      <c r="AK39" s="78"/>
    </row>
    <row r="40" ht="15.75" customHeight="1">
      <c r="A40" s="50"/>
      <c r="B40" s="50"/>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51" t="str">
        <f t="shared" si="3"/>
        <v/>
      </c>
      <c r="AI40" s="51" t="str">
        <f t="shared" si="4"/>
        <v/>
      </c>
      <c r="AJ40" s="51" t="str">
        <f t="shared" si="5"/>
        <v/>
      </c>
      <c r="AK40" s="78"/>
    </row>
    <row r="41" ht="15.75" customHeight="1">
      <c r="A41" s="50"/>
      <c r="B41" s="50"/>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c r="AF41" s="76"/>
      <c r="AG41" s="76"/>
      <c r="AH41" s="51" t="str">
        <f t="shared" si="3"/>
        <v/>
      </c>
      <c r="AI41" s="51" t="str">
        <f t="shared" si="4"/>
        <v/>
      </c>
      <c r="AJ41" s="51" t="str">
        <f t="shared" si="5"/>
        <v/>
      </c>
      <c r="AK41" s="78"/>
    </row>
    <row r="42" ht="15.75" customHeight="1">
      <c r="A42" s="50"/>
      <c r="B42" s="50"/>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51" t="str">
        <f t="shared" si="3"/>
        <v/>
      </c>
      <c r="AI42" s="51" t="str">
        <f t="shared" si="4"/>
        <v/>
      </c>
      <c r="AJ42" s="51" t="str">
        <f t="shared" si="5"/>
        <v/>
      </c>
      <c r="AK42" s="78"/>
    </row>
    <row r="43" ht="15.75" customHeight="1">
      <c r="A43" s="50"/>
      <c r="B43" s="50"/>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51" t="str">
        <f t="shared" si="3"/>
        <v/>
      </c>
      <c r="AI43" s="51" t="str">
        <f t="shared" si="4"/>
        <v/>
      </c>
      <c r="AJ43" s="51" t="str">
        <f t="shared" si="5"/>
        <v/>
      </c>
      <c r="AK43" s="78"/>
    </row>
    <row r="44" ht="15.75" customHeight="1">
      <c r="A44" s="50"/>
      <c r="B44" s="50"/>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51" t="str">
        <f t="shared" si="3"/>
        <v/>
      </c>
      <c r="AI44" s="51" t="str">
        <f t="shared" si="4"/>
        <v/>
      </c>
      <c r="AJ44" s="51" t="str">
        <f t="shared" si="5"/>
        <v/>
      </c>
      <c r="AK44" s="78"/>
    </row>
    <row r="45" ht="15.75" customHeight="1">
      <c r="A45" s="50"/>
      <c r="B45" s="50"/>
      <c r="C45" s="76"/>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51" t="str">
        <f t="shared" si="3"/>
        <v/>
      </c>
      <c r="AI45" s="51" t="str">
        <f t="shared" si="4"/>
        <v/>
      </c>
      <c r="AJ45" s="51" t="str">
        <f t="shared" si="5"/>
        <v/>
      </c>
      <c r="AK45" s="78"/>
    </row>
    <row r="46" ht="15.75" customHeight="1">
      <c r="A46" s="50"/>
      <c r="B46" s="50"/>
      <c r="C46" s="76"/>
      <c r="D46" s="76"/>
      <c r="E46" s="76"/>
      <c r="F46" s="76"/>
      <c r="G46" s="76"/>
      <c r="H46" s="76"/>
      <c r="I46" s="76"/>
      <c r="J46" s="76"/>
      <c r="K46" s="76"/>
      <c r="L46" s="76"/>
      <c r="M46" s="76"/>
      <c r="N46" s="76"/>
      <c r="O46" s="76"/>
      <c r="P46" s="76"/>
      <c r="Q46" s="76"/>
      <c r="R46" s="76"/>
      <c r="S46" s="76"/>
      <c r="T46" s="76"/>
      <c r="U46" s="76"/>
      <c r="V46" s="76"/>
      <c r="W46" s="76"/>
      <c r="X46" s="76"/>
      <c r="Y46" s="76"/>
      <c r="Z46" s="76"/>
      <c r="AA46" s="76"/>
      <c r="AB46" s="76"/>
      <c r="AC46" s="76"/>
      <c r="AD46" s="76"/>
      <c r="AE46" s="76"/>
      <c r="AF46" s="76"/>
      <c r="AG46" s="76"/>
      <c r="AH46" s="51" t="str">
        <f t="shared" si="3"/>
        <v/>
      </c>
      <c r="AI46" s="51" t="str">
        <f t="shared" si="4"/>
        <v/>
      </c>
      <c r="AJ46" s="51" t="str">
        <f t="shared" si="5"/>
        <v/>
      </c>
      <c r="AK46" s="78"/>
    </row>
    <row r="47" ht="15.75" customHeight="1">
      <c r="A47" s="50"/>
      <c r="B47" s="50"/>
      <c r="C47" s="76"/>
      <c r="D47" s="76"/>
      <c r="E47" s="76"/>
      <c r="F47" s="76"/>
      <c r="G47" s="76"/>
      <c r="H47" s="76"/>
      <c r="I47" s="76"/>
      <c r="J47" s="76"/>
      <c r="K47" s="76"/>
      <c r="L47" s="76"/>
      <c r="M47" s="76"/>
      <c r="N47" s="76"/>
      <c r="O47" s="76"/>
      <c r="P47" s="76"/>
      <c r="Q47" s="76"/>
      <c r="R47" s="76"/>
      <c r="S47" s="76"/>
      <c r="T47" s="76"/>
      <c r="U47" s="76"/>
      <c r="V47" s="76"/>
      <c r="W47" s="76"/>
      <c r="X47" s="76"/>
      <c r="Y47" s="76"/>
      <c r="Z47" s="76"/>
      <c r="AA47" s="76"/>
      <c r="AB47" s="76"/>
      <c r="AC47" s="76"/>
      <c r="AD47" s="76"/>
      <c r="AE47" s="76"/>
      <c r="AF47" s="76"/>
      <c r="AG47" s="76"/>
      <c r="AH47" s="51" t="str">
        <f t="shared" si="3"/>
        <v/>
      </c>
      <c r="AI47" s="51" t="str">
        <f t="shared" si="4"/>
        <v/>
      </c>
      <c r="AJ47" s="51" t="str">
        <f t="shared" si="5"/>
        <v/>
      </c>
      <c r="AK47" s="78"/>
    </row>
    <row r="48" ht="15.75" customHeight="1">
      <c r="A48" s="50"/>
      <c r="B48" s="50"/>
      <c r="C48" s="76"/>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51" t="str">
        <f t="shared" si="3"/>
        <v/>
      </c>
      <c r="AI48" s="51" t="str">
        <f t="shared" si="4"/>
        <v/>
      </c>
      <c r="AJ48" s="51" t="str">
        <f t="shared" si="5"/>
        <v/>
      </c>
      <c r="AK48" s="78"/>
    </row>
    <row r="49" ht="15.75" customHeight="1">
      <c r="A49" s="50"/>
      <c r="B49" s="50"/>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51" t="str">
        <f t="shared" si="3"/>
        <v/>
      </c>
      <c r="AI49" s="51" t="str">
        <f t="shared" si="4"/>
        <v/>
      </c>
      <c r="AJ49" s="51" t="str">
        <f t="shared" si="5"/>
        <v/>
      </c>
      <c r="AK49" s="78"/>
    </row>
    <row r="50" ht="15.75" customHeight="1">
      <c r="A50" s="50"/>
      <c r="B50" s="50"/>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51" t="str">
        <f t="shared" si="3"/>
        <v/>
      </c>
      <c r="AI50" s="51" t="str">
        <f t="shared" si="4"/>
        <v/>
      </c>
      <c r="AJ50" s="51" t="str">
        <f t="shared" si="5"/>
        <v/>
      </c>
      <c r="AK50" s="78"/>
    </row>
    <row r="51" ht="15.75" customHeight="1">
      <c r="A51" s="50"/>
      <c r="B51" s="50"/>
      <c r="C51" s="76"/>
      <c r="D51" s="76"/>
      <c r="E51" s="76"/>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51"/>
      <c r="AI51" s="51"/>
      <c r="AJ51" s="51"/>
      <c r="AK51" s="14"/>
    </row>
    <row r="52" ht="15.75" customHeight="1">
      <c r="A52" s="50"/>
      <c r="B52" s="50"/>
      <c r="C52" s="76"/>
      <c r="D52" s="76"/>
      <c r="E52" s="76"/>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51"/>
      <c r="AI52" s="51"/>
      <c r="AJ52" s="51"/>
      <c r="AK52" s="14"/>
    </row>
    <row r="53" ht="15.75" customHeight="1">
      <c r="A53" s="50"/>
      <c r="B53" s="50"/>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51"/>
      <c r="AI53" s="51"/>
      <c r="AJ53" s="51"/>
      <c r="AK53" s="14"/>
    </row>
    <row r="54" ht="15.75" customHeight="1">
      <c r="A54" s="50"/>
      <c r="B54" s="50"/>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51"/>
      <c r="AI54" s="51"/>
      <c r="AJ54" s="51"/>
      <c r="AK54" s="14"/>
    </row>
    <row r="55" ht="15.75" customHeight="1">
      <c r="A55" s="50"/>
      <c r="B55" s="50"/>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51"/>
      <c r="AI55" s="51"/>
      <c r="AJ55" s="51"/>
      <c r="AK55" s="14"/>
    </row>
    <row r="56" ht="15.75" customHeight="1">
      <c r="A56" s="50"/>
      <c r="B56" s="50"/>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51"/>
      <c r="AI56" s="51"/>
      <c r="AJ56" s="51"/>
      <c r="AK56" s="14"/>
    </row>
    <row r="57" ht="15.75" customHeight="1">
      <c r="A57" s="50"/>
      <c r="B57" s="50"/>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51"/>
      <c r="AI57" s="51"/>
      <c r="AJ57" s="51"/>
      <c r="AK57" s="14"/>
    </row>
    <row r="58" ht="15.75" customHeight="1">
      <c r="A58" s="50"/>
      <c r="B58" s="50"/>
      <c r="C58" s="76"/>
      <c r="D58" s="76"/>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51"/>
      <c r="AI58" s="51"/>
      <c r="AJ58" s="51"/>
      <c r="AK58" s="14"/>
    </row>
    <row r="59" ht="15.75" customHeight="1">
      <c r="A59" s="50"/>
      <c r="B59" s="50"/>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51"/>
      <c r="AI59" s="51"/>
      <c r="AJ59" s="51"/>
      <c r="AK59" s="14"/>
    </row>
    <row r="60" ht="15.75" customHeight="1">
      <c r="A60" s="50"/>
      <c r="B60" s="50"/>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51"/>
      <c r="AI60" s="51"/>
      <c r="AJ60" s="51"/>
      <c r="AK60" s="14"/>
    </row>
    <row r="61" ht="15.75" customHeight="1">
      <c r="A61" s="50"/>
      <c r="B61" s="50"/>
      <c r="C61" s="76"/>
      <c r="D61" s="76"/>
      <c r="E61" s="76"/>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51"/>
      <c r="AI61" s="51"/>
      <c r="AJ61" s="51"/>
      <c r="AK61" s="14"/>
    </row>
    <row r="62" ht="15.75" customHeight="1">
      <c r="A62" s="50"/>
      <c r="B62" s="50"/>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51"/>
      <c r="AI62" s="51"/>
      <c r="AJ62" s="51"/>
      <c r="AK62" s="14"/>
    </row>
    <row r="63" ht="15.75" customHeight="1">
      <c r="A63" s="50"/>
      <c r="B63" s="50"/>
      <c r="C63" s="76"/>
      <c r="D63" s="76"/>
      <c r="E63" s="76"/>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51"/>
      <c r="AI63" s="51"/>
      <c r="AJ63" s="51"/>
      <c r="AK63" s="14"/>
    </row>
    <row r="64" ht="15.75" customHeight="1">
      <c r="A64" s="50"/>
      <c r="B64" s="50"/>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51"/>
      <c r="AI64" s="51"/>
      <c r="AJ64" s="51"/>
      <c r="AK64" s="14"/>
    </row>
    <row r="65" ht="15.75" customHeight="1">
      <c r="A65" s="50"/>
      <c r="B65" s="50"/>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51"/>
      <c r="AI65" s="51"/>
      <c r="AJ65" s="51"/>
      <c r="AK65" s="14"/>
    </row>
    <row r="66" ht="15.75" customHeight="1">
      <c r="A66" s="50"/>
      <c r="B66" s="50"/>
      <c r="C66" s="76"/>
      <c r="D66" s="76"/>
      <c r="E66" s="76"/>
      <c r="F66" s="76"/>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51"/>
      <c r="AI66" s="51"/>
      <c r="AJ66" s="51"/>
      <c r="AK66" s="14"/>
    </row>
    <row r="67" ht="15.75" customHeight="1">
      <c r="A67" s="50"/>
      <c r="B67" s="50"/>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51"/>
      <c r="AI67" s="51"/>
      <c r="AJ67" s="51"/>
      <c r="AK67" s="14"/>
    </row>
    <row r="68" ht="15.75" customHeight="1">
      <c r="A68" s="50"/>
      <c r="B68" s="50"/>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51"/>
      <c r="AI68" s="51"/>
      <c r="AJ68" s="51"/>
      <c r="AK68" s="14"/>
    </row>
    <row r="69" ht="15.75" customHeight="1">
      <c r="A69" s="50"/>
      <c r="B69" s="50"/>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51"/>
      <c r="AI69" s="51"/>
      <c r="AJ69" s="51"/>
      <c r="AK69" s="14"/>
    </row>
    <row r="70" ht="15.75" customHeight="1">
      <c r="A70" s="50"/>
      <c r="B70" s="50"/>
      <c r="C70" s="76"/>
      <c r="D70" s="76"/>
      <c r="E70" s="76"/>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51"/>
      <c r="AI70" s="51"/>
      <c r="AJ70" s="51"/>
      <c r="AK70" s="14"/>
    </row>
    <row r="71" ht="15.75" customHeight="1">
      <c r="A71" s="50"/>
      <c r="B71" s="50"/>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51"/>
      <c r="AI71" s="51"/>
      <c r="AJ71" s="51"/>
      <c r="AK71" s="14"/>
    </row>
    <row r="72" ht="15.75" customHeight="1">
      <c r="A72" s="50"/>
      <c r="B72" s="50"/>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51"/>
      <c r="AI72" s="51"/>
      <c r="AJ72" s="51"/>
      <c r="AK72" s="14"/>
    </row>
    <row r="73" ht="15.75" customHeight="1">
      <c r="A73" s="50"/>
      <c r="B73" s="50"/>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51"/>
      <c r="AI73" s="51"/>
      <c r="AJ73" s="51"/>
      <c r="AK73" s="14"/>
    </row>
    <row r="74" ht="15.75" customHeight="1">
      <c r="A74" s="50"/>
      <c r="B74" s="50"/>
      <c r="C74" s="76"/>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51"/>
      <c r="AI74" s="51"/>
      <c r="AJ74" s="51"/>
      <c r="AK74" s="14"/>
    </row>
    <row r="75" ht="15.75" customHeight="1">
      <c r="A75" s="50"/>
      <c r="B75" s="50"/>
      <c r="C75" s="76"/>
      <c r="D75" s="76"/>
      <c r="E75" s="76"/>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51"/>
      <c r="AI75" s="51"/>
      <c r="AJ75" s="51"/>
      <c r="AK75" s="14"/>
    </row>
    <row r="76" ht="15.75" customHeight="1">
      <c r="A76" s="50"/>
      <c r="B76" s="50"/>
      <c r="C76" s="76"/>
      <c r="D76" s="76"/>
      <c r="E76" s="76"/>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51"/>
      <c r="AI76" s="51"/>
      <c r="AJ76" s="51"/>
      <c r="AK76" s="14"/>
    </row>
    <row r="77" ht="15.75" customHeight="1">
      <c r="A77" s="50"/>
      <c r="B77" s="50"/>
      <c r="C77" s="76"/>
      <c r="D77" s="76"/>
      <c r="E77" s="76"/>
      <c r="F77" s="76"/>
      <c r="G77" s="76"/>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51"/>
      <c r="AI77" s="51"/>
      <c r="AJ77" s="51"/>
      <c r="AK77" s="14"/>
    </row>
    <row r="78" ht="15.75" customHeight="1">
      <c r="A78" s="50"/>
      <c r="B78" s="50"/>
      <c r="C78" s="76"/>
      <c r="D78" s="76"/>
      <c r="E78" s="76"/>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51"/>
      <c r="AI78" s="51"/>
      <c r="AJ78" s="51"/>
      <c r="AK78" s="14"/>
    </row>
    <row r="79" ht="15.75" customHeight="1">
      <c r="A79" s="50"/>
      <c r="B79" s="50"/>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51"/>
      <c r="AI79" s="51"/>
      <c r="AJ79" s="51"/>
      <c r="AK79" s="14"/>
    </row>
    <row r="80" ht="15.75" customHeight="1">
      <c r="A80" s="50"/>
      <c r="B80" s="50"/>
      <c r="C80" s="76"/>
      <c r="D80" s="76"/>
      <c r="E80" s="76"/>
      <c r="F80" s="76"/>
      <c r="G80" s="76"/>
      <c r="H80" s="76"/>
      <c r="I80" s="76"/>
      <c r="J80" s="76"/>
      <c r="K80" s="76"/>
      <c r="L80" s="76"/>
      <c r="M80" s="76"/>
      <c r="N80" s="76"/>
      <c r="O80" s="76"/>
      <c r="P80" s="76"/>
      <c r="Q80" s="76"/>
      <c r="R80" s="76"/>
      <c r="S80" s="76"/>
      <c r="T80" s="76"/>
      <c r="U80" s="76"/>
      <c r="V80" s="76"/>
      <c r="W80" s="76"/>
      <c r="X80" s="76"/>
      <c r="Y80" s="76"/>
      <c r="Z80" s="76"/>
      <c r="AA80" s="76"/>
      <c r="AB80" s="76"/>
      <c r="AC80" s="76"/>
      <c r="AD80" s="76"/>
      <c r="AE80" s="76"/>
      <c r="AF80" s="76"/>
      <c r="AG80" s="76"/>
      <c r="AH80" s="51"/>
      <c r="AI80" s="51"/>
      <c r="AJ80" s="51"/>
      <c r="AK80" s="14"/>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K1"/>
  </mergeCells>
  <conditionalFormatting sqref="C21:AG50">
    <cfRule type="expression" dxfId="5" priority="1">
      <formula>C$19&lt;&gt;1</formula>
    </cfRule>
  </conditionalFormatting>
  <conditionalFormatting sqref="C21:AG80">
    <cfRule type="expression" dxfId="0" priority="2">
      <formula>C21="C"</formula>
    </cfRule>
  </conditionalFormatting>
  <conditionalFormatting sqref="C21:AG80">
    <cfRule type="expression" dxfId="1" priority="3">
      <formula>C21="N"</formula>
    </cfRule>
  </conditionalFormatting>
  <conditionalFormatting sqref="C17:AG20">
    <cfRule type="expression" dxfId="6" priority="4">
      <formula>C$19=1</formula>
    </cfRule>
  </conditionalFormatting>
  <dataValidations>
    <dataValidation type="list" allowBlank="1" sqref="C21:AG80">
      <formula1>"C,N"</formula1>
    </dataValidation>
  </dataValidations>
  <printOptions/>
  <pageMargins bottom="0.75" footer="0.0" header="0.0" left="0.7" right="0.7" top="0.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24.0"/>
    <col customWidth="1" min="3" max="33" width="5.0"/>
    <col customWidth="1" min="34" max="36" width="13.0"/>
    <col customWidth="1" min="37" max="37" width="42.0"/>
  </cols>
  <sheetData>
    <row r="1" ht="30.0" customHeight="1">
      <c r="A1" s="64" t="s">
        <v>378</v>
      </c>
    </row>
    <row r="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ht="18.0" customHeight="1">
      <c r="A3" s="67" t="s">
        <v>10</v>
      </c>
      <c r="B3" s="51" t="str">
        <f>IFERROR(DANH_MUC_LOP!$B$14,"")</f>
        <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ht="18.0" customHeight="1">
      <c r="A4" s="67" t="s">
        <v>76</v>
      </c>
      <c r="B4" s="68">
        <f>IFERROR(DIEU_KHIEN!$B$4,"")</f>
        <v>46235</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row>
    <row r="5" ht="18.0" customHeight="1">
      <c r="A5" s="67" t="s">
        <v>19</v>
      </c>
      <c r="B5" s="51" t="str">
        <f>IFERROR(DANH_MUC_LOP!$C$14,"")</f>
        <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row>
    <row r="6" ht="18.0" customHeight="1">
      <c r="A6" s="67" t="s">
        <v>21</v>
      </c>
      <c r="B6" s="51" t="str">
        <f>IFERROR(DANH_MUC_LOP!$D$14,"")</f>
        <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row>
    <row r="7" ht="18.0" customHeight="1">
      <c r="A7" s="67" t="s">
        <v>22</v>
      </c>
      <c r="B7" s="51" t="str">
        <f>IFERROR(DANH_MUC_LOP!$E$14,"")</f>
        <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row>
    <row r="8" ht="18.0" customHeight="1">
      <c r="A8" s="67" t="s">
        <v>23</v>
      </c>
      <c r="B8" s="43" t="str">
        <f>IFERROR(DANH_MUC_LOP!$F$14,"")</f>
        <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row>
    <row r="9" ht="18.0" customHeight="1">
      <c r="A9" s="67" t="s">
        <v>195</v>
      </c>
      <c r="B9" s="51" t="str">
        <f>IFERROR(DANH_MUC_LOP!$G$14,"")</f>
        <v>Không</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row>
    <row r="10" ht="18.0" customHeight="1">
      <c r="A10" s="67" t="s">
        <v>197</v>
      </c>
      <c r="B10" s="51" t="str">
        <f>IFERROR(DANH_MUC_LOP!$H$14,"")</f>
        <v>Không</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row>
    <row r="11" ht="18.0" customHeight="1">
      <c r="A11" s="67" t="s">
        <v>199</v>
      </c>
      <c r="B11" s="51" t="str">
        <f>IFERROR(DANH_MUC_LOP!$I$14,"")</f>
        <v>Không</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row>
    <row r="12" ht="18.0" customHeight="1">
      <c r="A12" s="67" t="s">
        <v>201</v>
      </c>
      <c r="B12" s="51" t="str">
        <f>IFERROR(DANH_MUC_LOP!$J$14,"")</f>
        <v>Không</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row>
    <row r="13" ht="18.0" customHeight="1">
      <c r="A13" s="67" t="s">
        <v>203</v>
      </c>
      <c r="B13" s="51" t="str">
        <f>IFERROR(DANH_MUC_LOP!$K$14,"")</f>
        <v>Không</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row>
    <row r="14" ht="18.0" customHeight="1">
      <c r="A14" s="67" t="s">
        <v>205</v>
      </c>
      <c r="B14" s="51" t="str">
        <f>IFERROR(DANH_MUC_LOP!$L$14,"")</f>
        <v>Không</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ht="18.0" customHeight="1">
      <c r="A15" s="67" t="s">
        <v>206</v>
      </c>
      <c r="B15" s="51" t="str">
        <f>IFERROR(DANH_MUC_LOP!$M$14,"")</f>
        <v>Không</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row>
    <row r="16" ht="18.0" customHeight="1">
      <c r="A16" s="67" t="s">
        <v>209</v>
      </c>
      <c r="B16" s="51" t="str">
        <f>IFERROR(IF(DANH_MUC_LOP!$R$14&gt;0,DANH_MUC_LOP!$R$14,SUM(C19:AG19)),SUM(C19:AG19))</f>
        <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row>
    <row r="17">
      <c r="A17" s="4" t="s">
        <v>212</v>
      </c>
      <c r="B17" s="4"/>
      <c r="C17" s="71">
        <v>1.0</v>
      </c>
      <c r="D17" s="71">
        <v>2.0</v>
      </c>
      <c r="E17" s="71">
        <v>3.0</v>
      </c>
      <c r="F17" s="71">
        <v>4.0</v>
      </c>
      <c r="G17" s="71">
        <v>5.0</v>
      </c>
      <c r="H17" s="71">
        <v>6.0</v>
      </c>
      <c r="I17" s="71">
        <v>7.0</v>
      </c>
      <c r="J17" s="71">
        <v>8.0</v>
      </c>
      <c r="K17" s="71">
        <v>9.0</v>
      </c>
      <c r="L17" s="71">
        <v>10.0</v>
      </c>
      <c r="M17" s="71">
        <v>11.0</v>
      </c>
      <c r="N17" s="71">
        <v>12.0</v>
      </c>
      <c r="O17" s="71">
        <v>13.0</v>
      </c>
      <c r="P17" s="71">
        <v>14.0</v>
      </c>
      <c r="Q17" s="71">
        <v>15.0</v>
      </c>
      <c r="R17" s="71">
        <v>16.0</v>
      </c>
      <c r="S17" s="71">
        <v>17.0</v>
      </c>
      <c r="T17" s="71">
        <v>18.0</v>
      </c>
      <c r="U17" s="71">
        <v>19.0</v>
      </c>
      <c r="V17" s="71">
        <v>20.0</v>
      </c>
      <c r="W17" s="71">
        <v>21.0</v>
      </c>
      <c r="X17" s="71">
        <v>22.0</v>
      </c>
      <c r="Y17" s="71">
        <v>23.0</v>
      </c>
      <c r="Z17" s="71">
        <v>24.0</v>
      </c>
      <c r="AA17" s="71">
        <v>25.0</v>
      </c>
      <c r="AB17" s="71">
        <v>26.0</v>
      </c>
      <c r="AC17" s="71">
        <v>27.0</v>
      </c>
      <c r="AD17" s="71">
        <v>28.0</v>
      </c>
      <c r="AE17" s="71">
        <v>29.0</v>
      </c>
      <c r="AF17" s="71">
        <v>30.0</v>
      </c>
      <c r="AG17" s="71">
        <v>31.0</v>
      </c>
      <c r="AH17" s="72"/>
      <c r="AI17" s="72"/>
      <c r="AJ17" s="72"/>
      <c r="AK17" s="72"/>
    </row>
    <row r="18">
      <c r="A18" s="4" t="s">
        <v>5</v>
      </c>
      <c r="B18" s="4"/>
      <c r="C18" s="74">
        <f t="shared" ref="C18:AG18" si="1">IFERROR(IF(MONTH(DATE(YEAR($B$4),MONTH($B$4),C$17))=MONTH($B$4),DATE(YEAR($B$4),MONTH($B$4),C$17),""),"")</f>
        <v>46235</v>
      </c>
      <c r="D18" s="74">
        <f t="shared" si="1"/>
        <v>46236</v>
      </c>
      <c r="E18" s="74">
        <f t="shared" si="1"/>
        <v>46237</v>
      </c>
      <c r="F18" s="74">
        <f t="shared" si="1"/>
        <v>46238</v>
      </c>
      <c r="G18" s="74">
        <f t="shared" si="1"/>
        <v>46239</v>
      </c>
      <c r="H18" s="74">
        <f t="shared" si="1"/>
        <v>46240</v>
      </c>
      <c r="I18" s="74">
        <f t="shared" si="1"/>
        <v>46241</v>
      </c>
      <c r="J18" s="74">
        <f t="shared" si="1"/>
        <v>46242</v>
      </c>
      <c r="K18" s="74">
        <f t="shared" si="1"/>
        <v>46243</v>
      </c>
      <c r="L18" s="74">
        <f t="shared" si="1"/>
        <v>46244</v>
      </c>
      <c r="M18" s="74">
        <f t="shared" si="1"/>
        <v>46245</v>
      </c>
      <c r="N18" s="74">
        <f t="shared" si="1"/>
        <v>46246</v>
      </c>
      <c r="O18" s="74">
        <f t="shared" si="1"/>
        <v>46247</v>
      </c>
      <c r="P18" s="74">
        <f t="shared" si="1"/>
        <v>46248</v>
      </c>
      <c r="Q18" s="74">
        <f t="shared" si="1"/>
        <v>46249</v>
      </c>
      <c r="R18" s="74">
        <f t="shared" si="1"/>
        <v>46250</v>
      </c>
      <c r="S18" s="74">
        <f t="shared" si="1"/>
        <v>46251</v>
      </c>
      <c r="T18" s="74">
        <f t="shared" si="1"/>
        <v>46252</v>
      </c>
      <c r="U18" s="74">
        <f t="shared" si="1"/>
        <v>46253</v>
      </c>
      <c r="V18" s="74">
        <f t="shared" si="1"/>
        <v>46254</v>
      </c>
      <c r="W18" s="74">
        <f t="shared" si="1"/>
        <v>46255</v>
      </c>
      <c r="X18" s="74">
        <f t="shared" si="1"/>
        <v>46256</v>
      </c>
      <c r="Y18" s="74">
        <f t="shared" si="1"/>
        <v>46257</v>
      </c>
      <c r="Z18" s="74">
        <f t="shared" si="1"/>
        <v>46258</v>
      </c>
      <c r="AA18" s="74">
        <f t="shared" si="1"/>
        <v>46259</v>
      </c>
      <c r="AB18" s="74">
        <f t="shared" si="1"/>
        <v>46260</v>
      </c>
      <c r="AC18" s="74">
        <f t="shared" si="1"/>
        <v>46261</v>
      </c>
      <c r="AD18" s="74">
        <f t="shared" si="1"/>
        <v>46262</v>
      </c>
      <c r="AE18" s="74">
        <f t="shared" si="1"/>
        <v>46263</v>
      </c>
      <c r="AF18" s="74">
        <f t="shared" si="1"/>
        <v>46264</v>
      </c>
      <c r="AG18" s="74">
        <f t="shared" si="1"/>
        <v>46265</v>
      </c>
      <c r="AH18" s="72"/>
      <c r="AI18" s="72"/>
      <c r="AJ18" s="72"/>
      <c r="AK18" s="72"/>
    </row>
    <row r="19">
      <c r="A19" s="4" t="s">
        <v>215</v>
      </c>
      <c r="B19" s="4"/>
      <c r="C19" s="71">
        <f t="shared" ref="C19:AG19" si="2">IFERROR(IF(C18="","",IF(CHOOSE(WEEKDAY(C18,2),$B$9,$B$10,$B$11,$B$12,$B$13,$B$14,$B$15)="Có",1,0)),"")</f>
        <v>0</v>
      </c>
      <c r="D19" s="71">
        <f t="shared" si="2"/>
        <v>0</v>
      </c>
      <c r="E19" s="71">
        <f t="shared" si="2"/>
        <v>0</v>
      </c>
      <c r="F19" s="71">
        <f t="shared" si="2"/>
        <v>0</v>
      </c>
      <c r="G19" s="71">
        <f t="shared" si="2"/>
        <v>0</v>
      </c>
      <c r="H19" s="71">
        <f t="shared" si="2"/>
        <v>0</v>
      </c>
      <c r="I19" s="71">
        <f t="shared" si="2"/>
        <v>0</v>
      </c>
      <c r="J19" s="71">
        <f t="shared" si="2"/>
        <v>0</v>
      </c>
      <c r="K19" s="71">
        <f t="shared" si="2"/>
        <v>0</v>
      </c>
      <c r="L19" s="71">
        <f t="shared" si="2"/>
        <v>0</v>
      </c>
      <c r="M19" s="71">
        <f t="shared" si="2"/>
        <v>0</v>
      </c>
      <c r="N19" s="71">
        <f t="shared" si="2"/>
        <v>0</v>
      </c>
      <c r="O19" s="71">
        <f t="shared" si="2"/>
        <v>0</v>
      </c>
      <c r="P19" s="71">
        <f t="shared" si="2"/>
        <v>0</v>
      </c>
      <c r="Q19" s="71">
        <f t="shared" si="2"/>
        <v>0</v>
      </c>
      <c r="R19" s="71">
        <f t="shared" si="2"/>
        <v>0</v>
      </c>
      <c r="S19" s="71">
        <f t="shared" si="2"/>
        <v>0</v>
      </c>
      <c r="T19" s="71">
        <f t="shared" si="2"/>
        <v>0</v>
      </c>
      <c r="U19" s="71">
        <f t="shared" si="2"/>
        <v>0</v>
      </c>
      <c r="V19" s="71">
        <f t="shared" si="2"/>
        <v>0</v>
      </c>
      <c r="W19" s="71">
        <f t="shared" si="2"/>
        <v>0</v>
      </c>
      <c r="X19" s="71">
        <f t="shared" si="2"/>
        <v>0</v>
      </c>
      <c r="Y19" s="71">
        <f t="shared" si="2"/>
        <v>0</v>
      </c>
      <c r="Z19" s="71">
        <f t="shared" si="2"/>
        <v>0</v>
      </c>
      <c r="AA19" s="71">
        <f t="shared" si="2"/>
        <v>0</v>
      </c>
      <c r="AB19" s="71">
        <f t="shared" si="2"/>
        <v>0</v>
      </c>
      <c r="AC19" s="71">
        <f t="shared" si="2"/>
        <v>0</v>
      </c>
      <c r="AD19" s="71">
        <f t="shared" si="2"/>
        <v>0</v>
      </c>
      <c r="AE19" s="71">
        <f t="shared" si="2"/>
        <v>0</v>
      </c>
      <c r="AF19" s="71">
        <f t="shared" si="2"/>
        <v>0</v>
      </c>
      <c r="AG19" s="71">
        <f t="shared" si="2"/>
        <v>0</v>
      </c>
      <c r="AH19" s="72"/>
      <c r="AI19" s="72"/>
      <c r="AJ19" s="72"/>
      <c r="AK19" s="72"/>
    </row>
    <row r="20" ht="27.75" customHeight="1">
      <c r="A20" s="5" t="s">
        <v>14</v>
      </c>
      <c r="B20" s="5" t="s">
        <v>16</v>
      </c>
      <c r="C20" s="5" t="s">
        <v>216</v>
      </c>
      <c r="D20" s="5" t="s">
        <v>217</v>
      </c>
      <c r="E20" s="5" t="s">
        <v>218</v>
      </c>
      <c r="F20" s="5" t="s">
        <v>219</v>
      </c>
      <c r="G20" s="5" t="s">
        <v>220</v>
      </c>
      <c r="H20" s="5" t="s">
        <v>221</v>
      </c>
      <c r="I20" s="5" t="s">
        <v>222</v>
      </c>
      <c r="J20" s="5" t="s">
        <v>223</v>
      </c>
      <c r="K20" s="5" t="s">
        <v>224</v>
      </c>
      <c r="L20" s="5" t="s">
        <v>225</v>
      </c>
      <c r="M20" s="5" t="s">
        <v>226</v>
      </c>
      <c r="N20" s="5" t="s">
        <v>227</v>
      </c>
      <c r="O20" s="5" t="s">
        <v>228</v>
      </c>
      <c r="P20" s="5" t="s">
        <v>229</v>
      </c>
      <c r="Q20" s="5" t="s">
        <v>230</v>
      </c>
      <c r="R20" s="5" t="s">
        <v>231</v>
      </c>
      <c r="S20" s="5" t="s">
        <v>232</v>
      </c>
      <c r="T20" s="5" t="s">
        <v>233</v>
      </c>
      <c r="U20" s="5" t="s">
        <v>234</v>
      </c>
      <c r="V20" s="5" t="s">
        <v>235</v>
      </c>
      <c r="W20" s="5" t="s">
        <v>236</v>
      </c>
      <c r="X20" s="5" t="s">
        <v>237</v>
      </c>
      <c r="Y20" s="5" t="s">
        <v>238</v>
      </c>
      <c r="Z20" s="5" t="s">
        <v>239</v>
      </c>
      <c r="AA20" s="5" t="s">
        <v>240</v>
      </c>
      <c r="AB20" s="5" t="s">
        <v>241</v>
      </c>
      <c r="AC20" s="5" t="s">
        <v>242</v>
      </c>
      <c r="AD20" s="5" t="s">
        <v>243</v>
      </c>
      <c r="AE20" s="5" t="s">
        <v>244</v>
      </c>
      <c r="AF20" s="5" t="s">
        <v>246</v>
      </c>
      <c r="AG20" s="5" t="s">
        <v>247</v>
      </c>
      <c r="AH20" s="5" t="s">
        <v>248</v>
      </c>
      <c r="AI20" s="5" t="s">
        <v>249</v>
      </c>
      <c r="AJ20" s="5" t="s">
        <v>250</v>
      </c>
      <c r="AK20" s="5" t="s">
        <v>15</v>
      </c>
    </row>
    <row r="21" ht="15.75" customHeight="1">
      <c r="A21" s="50"/>
      <c r="B21" s="50"/>
      <c r="C21" s="76"/>
      <c r="D21" s="76"/>
      <c r="E21" s="76"/>
      <c r="F21" s="76"/>
      <c r="G21" s="76"/>
      <c r="H21" s="76"/>
      <c r="I21" s="7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51" t="str">
        <f t="shared" ref="AH21:AH50" si="3">IF(A21="","",COUNTIF(C21:AG21,"C"))</f>
        <v/>
      </c>
      <c r="AI21" s="51" t="str">
        <f t="shared" ref="AI21:AI50" si="4">IF(A21="","",COUNTIF(C21:AG21,"N")+COUNTIF(C21:AG21,"P"))</f>
        <v/>
      </c>
      <c r="AJ21" s="51" t="str">
        <f t="shared" ref="AJ21:AJ50" si="5">IF(A21="","",MAX(0,$B$16-AH21-AI21))</f>
        <v/>
      </c>
      <c r="AK21" s="78"/>
    </row>
    <row r="22" ht="15.75" customHeight="1">
      <c r="A22" s="50"/>
      <c r="B22" s="50"/>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6"/>
      <c r="AD22" s="76"/>
      <c r="AE22" s="76"/>
      <c r="AF22" s="76"/>
      <c r="AG22" s="76"/>
      <c r="AH22" s="51" t="str">
        <f t="shared" si="3"/>
        <v/>
      </c>
      <c r="AI22" s="51" t="str">
        <f t="shared" si="4"/>
        <v/>
      </c>
      <c r="AJ22" s="51" t="str">
        <f t="shared" si="5"/>
        <v/>
      </c>
      <c r="AK22" s="78"/>
    </row>
    <row r="23" ht="15.75" customHeight="1">
      <c r="A23" s="50"/>
      <c r="B23" s="50"/>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6"/>
      <c r="AD23" s="76"/>
      <c r="AE23" s="76"/>
      <c r="AF23" s="76"/>
      <c r="AG23" s="76"/>
      <c r="AH23" s="51" t="str">
        <f t="shared" si="3"/>
        <v/>
      </c>
      <c r="AI23" s="51" t="str">
        <f t="shared" si="4"/>
        <v/>
      </c>
      <c r="AJ23" s="51" t="str">
        <f t="shared" si="5"/>
        <v/>
      </c>
      <c r="AK23" s="78"/>
    </row>
    <row r="24" ht="15.75" customHeight="1">
      <c r="A24" s="50"/>
      <c r="B24" s="50"/>
      <c r="C24" s="76"/>
      <c r="D24" s="76"/>
      <c r="E24" s="76"/>
      <c r="F24" s="76"/>
      <c r="G24" s="76"/>
      <c r="H24" s="76"/>
      <c r="I24" s="76"/>
      <c r="J24" s="76"/>
      <c r="K24" s="76"/>
      <c r="L24" s="76"/>
      <c r="M24" s="76"/>
      <c r="N24" s="76"/>
      <c r="O24" s="76"/>
      <c r="P24" s="76"/>
      <c r="Q24" s="76"/>
      <c r="R24" s="76"/>
      <c r="S24" s="76"/>
      <c r="T24" s="76"/>
      <c r="U24" s="76"/>
      <c r="V24" s="76"/>
      <c r="W24" s="76"/>
      <c r="X24" s="76"/>
      <c r="Y24" s="76"/>
      <c r="Z24" s="76"/>
      <c r="AA24" s="76"/>
      <c r="AB24" s="76"/>
      <c r="AC24" s="76"/>
      <c r="AD24" s="76"/>
      <c r="AE24" s="76"/>
      <c r="AF24" s="76"/>
      <c r="AG24" s="76"/>
      <c r="AH24" s="51" t="str">
        <f t="shared" si="3"/>
        <v/>
      </c>
      <c r="AI24" s="51" t="str">
        <f t="shared" si="4"/>
        <v/>
      </c>
      <c r="AJ24" s="51" t="str">
        <f t="shared" si="5"/>
        <v/>
      </c>
      <c r="AK24" s="78"/>
    </row>
    <row r="25" ht="15.75" customHeight="1">
      <c r="A25" s="50"/>
      <c r="B25" s="50"/>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c r="AF25" s="76"/>
      <c r="AG25" s="76"/>
      <c r="AH25" s="51" t="str">
        <f t="shared" si="3"/>
        <v/>
      </c>
      <c r="AI25" s="51" t="str">
        <f t="shared" si="4"/>
        <v/>
      </c>
      <c r="AJ25" s="51" t="str">
        <f t="shared" si="5"/>
        <v/>
      </c>
      <c r="AK25" s="78"/>
    </row>
    <row r="26" ht="15.75" customHeight="1">
      <c r="A26" s="50"/>
      <c r="B26" s="50"/>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51" t="str">
        <f t="shared" si="3"/>
        <v/>
      </c>
      <c r="AI26" s="51" t="str">
        <f t="shared" si="4"/>
        <v/>
      </c>
      <c r="AJ26" s="51" t="str">
        <f t="shared" si="5"/>
        <v/>
      </c>
      <c r="AK26" s="78"/>
    </row>
    <row r="27" ht="15.75" customHeight="1">
      <c r="A27" s="50"/>
      <c r="B27" s="50"/>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51" t="str">
        <f t="shared" si="3"/>
        <v/>
      </c>
      <c r="AI27" s="51" t="str">
        <f t="shared" si="4"/>
        <v/>
      </c>
      <c r="AJ27" s="51" t="str">
        <f t="shared" si="5"/>
        <v/>
      </c>
      <c r="AK27" s="78"/>
    </row>
    <row r="28" ht="15.75" customHeight="1">
      <c r="A28" s="50"/>
      <c r="B28" s="50"/>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51" t="str">
        <f t="shared" si="3"/>
        <v/>
      </c>
      <c r="AI28" s="51" t="str">
        <f t="shared" si="4"/>
        <v/>
      </c>
      <c r="AJ28" s="51" t="str">
        <f t="shared" si="5"/>
        <v/>
      </c>
      <c r="AK28" s="78"/>
    </row>
    <row r="29" ht="15.75" customHeight="1">
      <c r="A29" s="50"/>
      <c r="B29" s="50"/>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c r="AF29" s="76"/>
      <c r="AG29" s="76"/>
      <c r="AH29" s="51" t="str">
        <f t="shared" si="3"/>
        <v/>
      </c>
      <c r="AI29" s="51" t="str">
        <f t="shared" si="4"/>
        <v/>
      </c>
      <c r="AJ29" s="51" t="str">
        <f t="shared" si="5"/>
        <v/>
      </c>
      <c r="AK29" s="78"/>
    </row>
    <row r="30" ht="15.75" customHeight="1">
      <c r="A30" s="50"/>
      <c r="B30" s="50"/>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6"/>
      <c r="AD30" s="76"/>
      <c r="AE30" s="76"/>
      <c r="AF30" s="76"/>
      <c r="AG30" s="76"/>
      <c r="AH30" s="51" t="str">
        <f t="shared" si="3"/>
        <v/>
      </c>
      <c r="AI30" s="51" t="str">
        <f t="shared" si="4"/>
        <v/>
      </c>
      <c r="AJ30" s="51" t="str">
        <f t="shared" si="5"/>
        <v/>
      </c>
      <c r="AK30" s="78"/>
    </row>
    <row r="31" ht="15.75" customHeight="1">
      <c r="A31" s="50"/>
      <c r="B31" s="50"/>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c r="AF31" s="76"/>
      <c r="AG31" s="76"/>
      <c r="AH31" s="51" t="str">
        <f t="shared" si="3"/>
        <v/>
      </c>
      <c r="AI31" s="51" t="str">
        <f t="shared" si="4"/>
        <v/>
      </c>
      <c r="AJ31" s="51" t="str">
        <f t="shared" si="5"/>
        <v/>
      </c>
      <c r="AK31" s="78"/>
    </row>
    <row r="32" ht="15.75" customHeight="1">
      <c r="A32" s="50"/>
      <c r="B32" s="50"/>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51" t="str">
        <f t="shared" si="3"/>
        <v/>
      </c>
      <c r="AI32" s="51" t="str">
        <f t="shared" si="4"/>
        <v/>
      </c>
      <c r="AJ32" s="51" t="str">
        <f t="shared" si="5"/>
        <v/>
      </c>
      <c r="AK32" s="78"/>
    </row>
    <row r="33" ht="15.75" customHeight="1">
      <c r="A33" s="50"/>
      <c r="B33" s="50"/>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c r="AF33" s="76"/>
      <c r="AG33" s="76"/>
      <c r="AH33" s="51" t="str">
        <f t="shared" si="3"/>
        <v/>
      </c>
      <c r="AI33" s="51" t="str">
        <f t="shared" si="4"/>
        <v/>
      </c>
      <c r="AJ33" s="51" t="str">
        <f t="shared" si="5"/>
        <v/>
      </c>
      <c r="AK33" s="78"/>
    </row>
    <row r="34" ht="15.75" customHeight="1">
      <c r="A34" s="50"/>
      <c r="B34" s="50"/>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c r="AF34" s="76"/>
      <c r="AG34" s="76"/>
      <c r="AH34" s="51" t="str">
        <f t="shared" si="3"/>
        <v/>
      </c>
      <c r="AI34" s="51" t="str">
        <f t="shared" si="4"/>
        <v/>
      </c>
      <c r="AJ34" s="51" t="str">
        <f t="shared" si="5"/>
        <v/>
      </c>
      <c r="AK34" s="78"/>
    </row>
    <row r="35" ht="15.75" customHeight="1">
      <c r="A35" s="50"/>
      <c r="B35" s="50"/>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6"/>
      <c r="AF35" s="76"/>
      <c r="AG35" s="76"/>
      <c r="AH35" s="51" t="str">
        <f t="shared" si="3"/>
        <v/>
      </c>
      <c r="AI35" s="51" t="str">
        <f t="shared" si="4"/>
        <v/>
      </c>
      <c r="AJ35" s="51" t="str">
        <f t="shared" si="5"/>
        <v/>
      </c>
      <c r="AK35" s="78"/>
    </row>
    <row r="36" ht="15.75" customHeight="1">
      <c r="A36" s="50"/>
      <c r="B36" s="50"/>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51" t="str">
        <f t="shared" si="3"/>
        <v/>
      </c>
      <c r="AI36" s="51" t="str">
        <f t="shared" si="4"/>
        <v/>
      </c>
      <c r="AJ36" s="51" t="str">
        <f t="shared" si="5"/>
        <v/>
      </c>
      <c r="AK36" s="78"/>
    </row>
    <row r="37" ht="15.75" customHeight="1">
      <c r="A37" s="50"/>
      <c r="B37" s="50"/>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51" t="str">
        <f t="shared" si="3"/>
        <v/>
      </c>
      <c r="AI37" s="51" t="str">
        <f t="shared" si="4"/>
        <v/>
      </c>
      <c r="AJ37" s="51" t="str">
        <f t="shared" si="5"/>
        <v/>
      </c>
      <c r="AK37" s="78"/>
    </row>
    <row r="38" ht="15.75" customHeight="1">
      <c r="A38" s="50"/>
      <c r="B38" s="50"/>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6"/>
      <c r="AC38" s="76"/>
      <c r="AD38" s="76"/>
      <c r="AE38" s="76"/>
      <c r="AF38" s="76"/>
      <c r="AG38" s="76"/>
      <c r="AH38" s="51" t="str">
        <f t="shared" si="3"/>
        <v/>
      </c>
      <c r="AI38" s="51" t="str">
        <f t="shared" si="4"/>
        <v/>
      </c>
      <c r="AJ38" s="51" t="str">
        <f t="shared" si="5"/>
        <v/>
      </c>
      <c r="AK38" s="78"/>
    </row>
    <row r="39" ht="15.75" customHeight="1">
      <c r="A39" s="50"/>
      <c r="B39" s="50"/>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51" t="str">
        <f t="shared" si="3"/>
        <v/>
      </c>
      <c r="AI39" s="51" t="str">
        <f t="shared" si="4"/>
        <v/>
      </c>
      <c r="AJ39" s="51" t="str">
        <f t="shared" si="5"/>
        <v/>
      </c>
      <c r="AK39" s="78"/>
    </row>
    <row r="40" ht="15.75" customHeight="1">
      <c r="A40" s="50"/>
      <c r="B40" s="50"/>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51" t="str">
        <f t="shared" si="3"/>
        <v/>
      </c>
      <c r="AI40" s="51" t="str">
        <f t="shared" si="4"/>
        <v/>
      </c>
      <c r="AJ40" s="51" t="str">
        <f t="shared" si="5"/>
        <v/>
      </c>
      <c r="AK40" s="78"/>
    </row>
    <row r="41" ht="15.75" customHeight="1">
      <c r="A41" s="50"/>
      <c r="B41" s="50"/>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c r="AF41" s="76"/>
      <c r="AG41" s="76"/>
      <c r="AH41" s="51" t="str">
        <f t="shared" si="3"/>
        <v/>
      </c>
      <c r="AI41" s="51" t="str">
        <f t="shared" si="4"/>
        <v/>
      </c>
      <c r="AJ41" s="51" t="str">
        <f t="shared" si="5"/>
        <v/>
      </c>
      <c r="AK41" s="78"/>
    </row>
    <row r="42" ht="15.75" customHeight="1">
      <c r="A42" s="50"/>
      <c r="B42" s="50"/>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51" t="str">
        <f t="shared" si="3"/>
        <v/>
      </c>
      <c r="AI42" s="51" t="str">
        <f t="shared" si="4"/>
        <v/>
      </c>
      <c r="AJ42" s="51" t="str">
        <f t="shared" si="5"/>
        <v/>
      </c>
      <c r="AK42" s="78"/>
    </row>
    <row r="43" ht="15.75" customHeight="1">
      <c r="A43" s="50"/>
      <c r="B43" s="50"/>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51" t="str">
        <f t="shared" si="3"/>
        <v/>
      </c>
      <c r="AI43" s="51" t="str">
        <f t="shared" si="4"/>
        <v/>
      </c>
      <c r="AJ43" s="51" t="str">
        <f t="shared" si="5"/>
        <v/>
      </c>
      <c r="AK43" s="78"/>
    </row>
    <row r="44" ht="15.75" customHeight="1">
      <c r="A44" s="50"/>
      <c r="B44" s="50"/>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51" t="str">
        <f t="shared" si="3"/>
        <v/>
      </c>
      <c r="AI44" s="51" t="str">
        <f t="shared" si="4"/>
        <v/>
      </c>
      <c r="AJ44" s="51" t="str">
        <f t="shared" si="5"/>
        <v/>
      </c>
      <c r="AK44" s="78"/>
    </row>
    <row r="45" ht="15.75" customHeight="1">
      <c r="A45" s="50"/>
      <c r="B45" s="50"/>
      <c r="C45" s="76"/>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51" t="str">
        <f t="shared" si="3"/>
        <v/>
      </c>
      <c r="AI45" s="51" t="str">
        <f t="shared" si="4"/>
        <v/>
      </c>
      <c r="AJ45" s="51" t="str">
        <f t="shared" si="5"/>
        <v/>
      </c>
      <c r="AK45" s="78"/>
    </row>
    <row r="46" ht="15.75" customHeight="1">
      <c r="A46" s="50"/>
      <c r="B46" s="50"/>
      <c r="C46" s="76"/>
      <c r="D46" s="76"/>
      <c r="E46" s="76"/>
      <c r="F46" s="76"/>
      <c r="G46" s="76"/>
      <c r="H46" s="76"/>
      <c r="I46" s="76"/>
      <c r="J46" s="76"/>
      <c r="K46" s="76"/>
      <c r="L46" s="76"/>
      <c r="M46" s="76"/>
      <c r="N46" s="76"/>
      <c r="O46" s="76"/>
      <c r="P46" s="76"/>
      <c r="Q46" s="76"/>
      <c r="R46" s="76"/>
      <c r="S46" s="76"/>
      <c r="T46" s="76"/>
      <c r="U46" s="76"/>
      <c r="V46" s="76"/>
      <c r="W46" s="76"/>
      <c r="X46" s="76"/>
      <c r="Y46" s="76"/>
      <c r="Z46" s="76"/>
      <c r="AA46" s="76"/>
      <c r="AB46" s="76"/>
      <c r="AC46" s="76"/>
      <c r="AD46" s="76"/>
      <c r="AE46" s="76"/>
      <c r="AF46" s="76"/>
      <c r="AG46" s="76"/>
      <c r="AH46" s="51" t="str">
        <f t="shared" si="3"/>
        <v/>
      </c>
      <c r="AI46" s="51" t="str">
        <f t="shared" si="4"/>
        <v/>
      </c>
      <c r="AJ46" s="51" t="str">
        <f t="shared" si="5"/>
        <v/>
      </c>
      <c r="AK46" s="78"/>
    </row>
    <row r="47" ht="15.75" customHeight="1">
      <c r="A47" s="50"/>
      <c r="B47" s="50"/>
      <c r="C47" s="76"/>
      <c r="D47" s="76"/>
      <c r="E47" s="76"/>
      <c r="F47" s="76"/>
      <c r="G47" s="76"/>
      <c r="H47" s="76"/>
      <c r="I47" s="76"/>
      <c r="J47" s="76"/>
      <c r="K47" s="76"/>
      <c r="L47" s="76"/>
      <c r="M47" s="76"/>
      <c r="N47" s="76"/>
      <c r="O47" s="76"/>
      <c r="P47" s="76"/>
      <c r="Q47" s="76"/>
      <c r="R47" s="76"/>
      <c r="S47" s="76"/>
      <c r="T47" s="76"/>
      <c r="U47" s="76"/>
      <c r="V47" s="76"/>
      <c r="W47" s="76"/>
      <c r="X47" s="76"/>
      <c r="Y47" s="76"/>
      <c r="Z47" s="76"/>
      <c r="AA47" s="76"/>
      <c r="AB47" s="76"/>
      <c r="AC47" s="76"/>
      <c r="AD47" s="76"/>
      <c r="AE47" s="76"/>
      <c r="AF47" s="76"/>
      <c r="AG47" s="76"/>
      <c r="AH47" s="51" t="str">
        <f t="shared" si="3"/>
        <v/>
      </c>
      <c r="AI47" s="51" t="str">
        <f t="shared" si="4"/>
        <v/>
      </c>
      <c r="AJ47" s="51" t="str">
        <f t="shared" si="5"/>
        <v/>
      </c>
      <c r="AK47" s="78"/>
    </row>
    <row r="48" ht="15.75" customHeight="1">
      <c r="A48" s="50"/>
      <c r="B48" s="50"/>
      <c r="C48" s="76"/>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51" t="str">
        <f t="shared" si="3"/>
        <v/>
      </c>
      <c r="AI48" s="51" t="str">
        <f t="shared" si="4"/>
        <v/>
      </c>
      <c r="AJ48" s="51" t="str">
        <f t="shared" si="5"/>
        <v/>
      </c>
      <c r="AK48" s="78"/>
    </row>
    <row r="49" ht="15.75" customHeight="1">
      <c r="A49" s="50"/>
      <c r="B49" s="50"/>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51" t="str">
        <f t="shared" si="3"/>
        <v/>
      </c>
      <c r="AI49" s="51" t="str">
        <f t="shared" si="4"/>
        <v/>
      </c>
      <c r="AJ49" s="51" t="str">
        <f t="shared" si="5"/>
        <v/>
      </c>
      <c r="AK49" s="78"/>
    </row>
    <row r="50" ht="15.75" customHeight="1">
      <c r="A50" s="50"/>
      <c r="B50" s="50"/>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51" t="str">
        <f t="shared" si="3"/>
        <v/>
      </c>
      <c r="AI50" s="51" t="str">
        <f t="shared" si="4"/>
        <v/>
      </c>
      <c r="AJ50" s="51" t="str">
        <f t="shared" si="5"/>
        <v/>
      </c>
      <c r="AK50" s="78"/>
    </row>
    <row r="51" ht="15.75" customHeight="1">
      <c r="A51" s="50"/>
      <c r="B51" s="50"/>
      <c r="C51" s="76"/>
      <c r="D51" s="76"/>
      <c r="E51" s="76"/>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51"/>
      <c r="AI51" s="51"/>
      <c r="AJ51" s="51"/>
      <c r="AK51" s="14"/>
    </row>
    <row r="52" ht="15.75" customHeight="1">
      <c r="A52" s="50"/>
      <c r="B52" s="50"/>
      <c r="C52" s="76"/>
      <c r="D52" s="76"/>
      <c r="E52" s="76"/>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51"/>
      <c r="AI52" s="51"/>
      <c r="AJ52" s="51"/>
      <c r="AK52" s="14"/>
    </row>
    <row r="53" ht="15.75" customHeight="1">
      <c r="A53" s="50"/>
      <c r="B53" s="50"/>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51"/>
      <c r="AI53" s="51"/>
      <c r="AJ53" s="51"/>
      <c r="AK53" s="14"/>
    </row>
    <row r="54" ht="15.75" customHeight="1">
      <c r="A54" s="50"/>
      <c r="B54" s="50"/>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51"/>
      <c r="AI54" s="51"/>
      <c r="AJ54" s="51"/>
      <c r="AK54" s="14"/>
    </row>
    <row r="55" ht="15.75" customHeight="1">
      <c r="A55" s="50"/>
      <c r="B55" s="50"/>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51"/>
      <c r="AI55" s="51"/>
      <c r="AJ55" s="51"/>
      <c r="AK55" s="14"/>
    </row>
    <row r="56" ht="15.75" customHeight="1">
      <c r="A56" s="50"/>
      <c r="B56" s="50"/>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51"/>
      <c r="AI56" s="51"/>
      <c r="AJ56" s="51"/>
      <c r="AK56" s="14"/>
    </row>
    <row r="57" ht="15.75" customHeight="1">
      <c r="A57" s="50"/>
      <c r="B57" s="50"/>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51"/>
      <c r="AI57" s="51"/>
      <c r="AJ57" s="51"/>
      <c r="AK57" s="14"/>
    </row>
    <row r="58" ht="15.75" customHeight="1">
      <c r="A58" s="50"/>
      <c r="B58" s="50"/>
      <c r="C58" s="76"/>
      <c r="D58" s="76"/>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51"/>
      <c r="AI58" s="51"/>
      <c r="AJ58" s="51"/>
      <c r="AK58" s="14"/>
    </row>
    <row r="59" ht="15.75" customHeight="1">
      <c r="A59" s="50"/>
      <c r="B59" s="50"/>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51"/>
      <c r="AI59" s="51"/>
      <c r="AJ59" s="51"/>
      <c r="AK59" s="14"/>
    </row>
    <row r="60" ht="15.75" customHeight="1">
      <c r="A60" s="50"/>
      <c r="B60" s="50"/>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51"/>
      <c r="AI60" s="51"/>
      <c r="AJ60" s="51"/>
      <c r="AK60" s="14"/>
    </row>
    <row r="61" ht="15.75" customHeight="1">
      <c r="A61" s="50"/>
      <c r="B61" s="50"/>
      <c r="C61" s="76"/>
      <c r="D61" s="76"/>
      <c r="E61" s="76"/>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51"/>
      <c r="AI61" s="51"/>
      <c r="AJ61" s="51"/>
      <c r="AK61" s="14"/>
    </row>
    <row r="62" ht="15.75" customHeight="1">
      <c r="A62" s="50"/>
      <c r="B62" s="50"/>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51"/>
      <c r="AI62" s="51"/>
      <c r="AJ62" s="51"/>
      <c r="AK62" s="14"/>
    </row>
    <row r="63" ht="15.75" customHeight="1">
      <c r="A63" s="50"/>
      <c r="B63" s="50"/>
      <c r="C63" s="76"/>
      <c r="D63" s="76"/>
      <c r="E63" s="76"/>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51"/>
      <c r="AI63" s="51"/>
      <c r="AJ63" s="51"/>
      <c r="AK63" s="14"/>
    </row>
    <row r="64" ht="15.75" customHeight="1">
      <c r="A64" s="50"/>
      <c r="B64" s="50"/>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51"/>
      <c r="AI64" s="51"/>
      <c r="AJ64" s="51"/>
      <c r="AK64" s="14"/>
    </row>
    <row r="65" ht="15.75" customHeight="1">
      <c r="A65" s="50"/>
      <c r="B65" s="50"/>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51"/>
      <c r="AI65" s="51"/>
      <c r="AJ65" s="51"/>
      <c r="AK65" s="14"/>
    </row>
    <row r="66" ht="15.75" customHeight="1">
      <c r="A66" s="50"/>
      <c r="B66" s="50"/>
      <c r="C66" s="76"/>
      <c r="D66" s="76"/>
      <c r="E66" s="76"/>
      <c r="F66" s="76"/>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51"/>
      <c r="AI66" s="51"/>
      <c r="AJ66" s="51"/>
      <c r="AK66" s="14"/>
    </row>
    <row r="67" ht="15.75" customHeight="1">
      <c r="A67" s="50"/>
      <c r="B67" s="50"/>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51"/>
      <c r="AI67" s="51"/>
      <c r="AJ67" s="51"/>
      <c r="AK67" s="14"/>
    </row>
    <row r="68" ht="15.75" customHeight="1">
      <c r="A68" s="50"/>
      <c r="B68" s="50"/>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51"/>
      <c r="AI68" s="51"/>
      <c r="AJ68" s="51"/>
      <c r="AK68" s="14"/>
    </row>
    <row r="69" ht="15.75" customHeight="1">
      <c r="A69" s="50"/>
      <c r="B69" s="50"/>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51"/>
      <c r="AI69" s="51"/>
      <c r="AJ69" s="51"/>
      <c r="AK69" s="14"/>
    </row>
    <row r="70" ht="15.75" customHeight="1">
      <c r="A70" s="50"/>
      <c r="B70" s="50"/>
      <c r="C70" s="76"/>
      <c r="D70" s="76"/>
      <c r="E70" s="76"/>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51"/>
      <c r="AI70" s="51"/>
      <c r="AJ70" s="51"/>
      <c r="AK70" s="14"/>
    </row>
    <row r="71" ht="15.75" customHeight="1">
      <c r="A71" s="50"/>
      <c r="B71" s="50"/>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51"/>
      <c r="AI71" s="51"/>
      <c r="AJ71" s="51"/>
      <c r="AK71" s="14"/>
    </row>
    <row r="72" ht="15.75" customHeight="1">
      <c r="A72" s="50"/>
      <c r="B72" s="50"/>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51"/>
      <c r="AI72" s="51"/>
      <c r="AJ72" s="51"/>
      <c r="AK72" s="14"/>
    </row>
    <row r="73" ht="15.75" customHeight="1">
      <c r="A73" s="50"/>
      <c r="B73" s="50"/>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51"/>
      <c r="AI73" s="51"/>
      <c r="AJ73" s="51"/>
      <c r="AK73" s="14"/>
    </row>
    <row r="74" ht="15.75" customHeight="1">
      <c r="A74" s="50"/>
      <c r="B74" s="50"/>
      <c r="C74" s="76"/>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51"/>
      <c r="AI74" s="51"/>
      <c r="AJ74" s="51"/>
      <c r="AK74" s="14"/>
    </row>
    <row r="75" ht="15.75" customHeight="1">
      <c r="A75" s="50"/>
      <c r="B75" s="50"/>
      <c r="C75" s="76"/>
      <c r="D75" s="76"/>
      <c r="E75" s="76"/>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51"/>
      <c r="AI75" s="51"/>
      <c r="AJ75" s="51"/>
      <c r="AK75" s="14"/>
    </row>
    <row r="76" ht="15.75" customHeight="1">
      <c r="A76" s="50"/>
      <c r="B76" s="50"/>
      <c r="C76" s="76"/>
      <c r="D76" s="76"/>
      <c r="E76" s="76"/>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51"/>
      <c r="AI76" s="51"/>
      <c r="AJ76" s="51"/>
      <c r="AK76" s="14"/>
    </row>
    <row r="77" ht="15.75" customHeight="1">
      <c r="A77" s="50"/>
      <c r="B77" s="50"/>
      <c r="C77" s="76"/>
      <c r="D77" s="76"/>
      <c r="E77" s="76"/>
      <c r="F77" s="76"/>
      <c r="G77" s="76"/>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51"/>
      <c r="AI77" s="51"/>
      <c r="AJ77" s="51"/>
      <c r="AK77" s="14"/>
    </row>
    <row r="78" ht="15.75" customHeight="1">
      <c r="A78" s="50"/>
      <c r="B78" s="50"/>
      <c r="C78" s="76"/>
      <c r="D78" s="76"/>
      <c r="E78" s="76"/>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51"/>
      <c r="AI78" s="51"/>
      <c r="AJ78" s="51"/>
      <c r="AK78" s="14"/>
    </row>
    <row r="79" ht="15.75" customHeight="1">
      <c r="A79" s="50"/>
      <c r="B79" s="50"/>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51"/>
      <c r="AI79" s="51"/>
      <c r="AJ79" s="51"/>
      <c r="AK79" s="14"/>
    </row>
    <row r="80" ht="15.75" customHeight="1">
      <c r="A80" s="50"/>
      <c r="B80" s="50"/>
      <c r="C80" s="76"/>
      <c r="D80" s="76"/>
      <c r="E80" s="76"/>
      <c r="F80" s="76"/>
      <c r="G80" s="76"/>
      <c r="H80" s="76"/>
      <c r="I80" s="76"/>
      <c r="J80" s="76"/>
      <c r="K80" s="76"/>
      <c r="L80" s="76"/>
      <c r="M80" s="76"/>
      <c r="N80" s="76"/>
      <c r="O80" s="76"/>
      <c r="P80" s="76"/>
      <c r="Q80" s="76"/>
      <c r="R80" s="76"/>
      <c r="S80" s="76"/>
      <c r="T80" s="76"/>
      <c r="U80" s="76"/>
      <c r="V80" s="76"/>
      <c r="W80" s="76"/>
      <c r="X80" s="76"/>
      <c r="Y80" s="76"/>
      <c r="Z80" s="76"/>
      <c r="AA80" s="76"/>
      <c r="AB80" s="76"/>
      <c r="AC80" s="76"/>
      <c r="AD80" s="76"/>
      <c r="AE80" s="76"/>
      <c r="AF80" s="76"/>
      <c r="AG80" s="76"/>
      <c r="AH80" s="51"/>
      <c r="AI80" s="51"/>
      <c r="AJ80" s="51"/>
      <c r="AK80" s="14"/>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K1"/>
  </mergeCells>
  <conditionalFormatting sqref="C21:AG50">
    <cfRule type="expression" dxfId="5" priority="1">
      <formula>C$19&lt;&gt;1</formula>
    </cfRule>
  </conditionalFormatting>
  <conditionalFormatting sqref="C21:AG80">
    <cfRule type="expression" dxfId="0" priority="2">
      <formula>C21="C"</formula>
    </cfRule>
  </conditionalFormatting>
  <conditionalFormatting sqref="C21:AG80">
    <cfRule type="expression" dxfId="1" priority="3">
      <formula>C21="N"</formula>
    </cfRule>
  </conditionalFormatting>
  <conditionalFormatting sqref="C17:AG20">
    <cfRule type="expression" dxfId="6" priority="4">
      <formula>C$19=1</formula>
    </cfRule>
  </conditionalFormatting>
  <dataValidations>
    <dataValidation type="list" allowBlank="1" sqref="C21:AG80">
      <formula1>"C,N"</formula1>
    </dataValidation>
  </dataValidations>
  <printOptions/>
  <pageMargins bottom="0.75" footer="0.0" header="0.0" left="0.7" right="0.7" top="0.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24.0"/>
    <col customWidth="1" min="3" max="33" width="5.0"/>
    <col customWidth="1" min="34" max="36" width="13.0"/>
    <col customWidth="1" min="37" max="37" width="42.0"/>
  </cols>
  <sheetData>
    <row r="1" ht="30.0" customHeight="1">
      <c r="A1" s="64" t="s">
        <v>379</v>
      </c>
    </row>
    <row r="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ht="18.0" customHeight="1">
      <c r="A3" s="67" t="s">
        <v>10</v>
      </c>
      <c r="B3" s="51" t="str">
        <f>IFERROR(DANH_MUC_LOP!$B$15,"")</f>
        <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ht="18.0" customHeight="1">
      <c r="A4" s="67" t="s">
        <v>76</v>
      </c>
      <c r="B4" s="68">
        <f>IFERROR(DIEU_KHIEN!$B$4,"")</f>
        <v>46235</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row>
    <row r="5" ht="18.0" customHeight="1">
      <c r="A5" s="67" t="s">
        <v>19</v>
      </c>
      <c r="B5" s="51" t="str">
        <f>IFERROR(DANH_MUC_LOP!$C$15,"")</f>
        <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row>
    <row r="6" ht="18.0" customHeight="1">
      <c r="A6" s="67" t="s">
        <v>21</v>
      </c>
      <c r="B6" s="51" t="str">
        <f>IFERROR(DANH_MUC_LOP!$D$15,"")</f>
        <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row>
    <row r="7" ht="18.0" customHeight="1">
      <c r="A7" s="67" t="s">
        <v>22</v>
      </c>
      <c r="B7" s="51" t="str">
        <f>IFERROR(DANH_MUC_LOP!$E$15,"")</f>
        <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row>
    <row r="8" ht="18.0" customHeight="1">
      <c r="A8" s="67" t="s">
        <v>23</v>
      </c>
      <c r="B8" s="43" t="str">
        <f>IFERROR(DANH_MUC_LOP!$F$15,"")</f>
        <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row>
    <row r="9" ht="18.0" customHeight="1">
      <c r="A9" s="67" t="s">
        <v>195</v>
      </c>
      <c r="B9" s="51" t="str">
        <f>IFERROR(DANH_MUC_LOP!$G$15,"")</f>
        <v>Không</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row>
    <row r="10" ht="18.0" customHeight="1">
      <c r="A10" s="67" t="s">
        <v>197</v>
      </c>
      <c r="B10" s="51" t="str">
        <f>IFERROR(DANH_MUC_LOP!$H$15,"")</f>
        <v>Không</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row>
    <row r="11" ht="18.0" customHeight="1">
      <c r="A11" s="67" t="s">
        <v>199</v>
      </c>
      <c r="B11" s="51" t="str">
        <f>IFERROR(DANH_MUC_LOP!$I$15,"")</f>
        <v>Không</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row>
    <row r="12" ht="18.0" customHeight="1">
      <c r="A12" s="67" t="s">
        <v>201</v>
      </c>
      <c r="B12" s="51" t="str">
        <f>IFERROR(DANH_MUC_LOP!$J$15,"")</f>
        <v>Không</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row>
    <row r="13" ht="18.0" customHeight="1">
      <c r="A13" s="67" t="s">
        <v>203</v>
      </c>
      <c r="B13" s="51" t="str">
        <f>IFERROR(DANH_MUC_LOP!$K$15,"")</f>
        <v>Không</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row>
    <row r="14" ht="18.0" customHeight="1">
      <c r="A14" s="67" t="s">
        <v>205</v>
      </c>
      <c r="B14" s="51" t="str">
        <f>IFERROR(DANH_MUC_LOP!$L$15,"")</f>
        <v>Không</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ht="18.0" customHeight="1">
      <c r="A15" s="67" t="s">
        <v>206</v>
      </c>
      <c r="B15" s="51" t="str">
        <f>IFERROR(DANH_MUC_LOP!$M$15,"")</f>
        <v>Không</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row>
    <row r="16" ht="18.0" customHeight="1">
      <c r="A16" s="67" t="s">
        <v>209</v>
      </c>
      <c r="B16" s="51" t="str">
        <f>IFERROR(IF(DANH_MUC_LOP!$R$15&gt;0,DANH_MUC_LOP!$R$15,SUM(C19:AG19)),SUM(C19:AG19))</f>
        <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row>
    <row r="17">
      <c r="A17" s="4" t="s">
        <v>212</v>
      </c>
      <c r="B17" s="4"/>
      <c r="C17" s="71">
        <v>1.0</v>
      </c>
      <c r="D17" s="71">
        <v>2.0</v>
      </c>
      <c r="E17" s="71">
        <v>3.0</v>
      </c>
      <c r="F17" s="71">
        <v>4.0</v>
      </c>
      <c r="G17" s="71">
        <v>5.0</v>
      </c>
      <c r="H17" s="71">
        <v>6.0</v>
      </c>
      <c r="I17" s="71">
        <v>7.0</v>
      </c>
      <c r="J17" s="71">
        <v>8.0</v>
      </c>
      <c r="K17" s="71">
        <v>9.0</v>
      </c>
      <c r="L17" s="71">
        <v>10.0</v>
      </c>
      <c r="M17" s="71">
        <v>11.0</v>
      </c>
      <c r="N17" s="71">
        <v>12.0</v>
      </c>
      <c r="O17" s="71">
        <v>13.0</v>
      </c>
      <c r="P17" s="71">
        <v>14.0</v>
      </c>
      <c r="Q17" s="71">
        <v>15.0</v>
      </c>
      <c r="R17" s="71">
        <v>16.0</v>
      </c>
      <c r="S17" s="71">
        <v>17.0</v>
      </c>
      <c r="T17" s="71">
        <v>18.0</v>
      </c>
      <c r="U17" s="71">
        <v>19.0</v>
      </c>
      <c r="V17" s="71">
        <v>20.0</v>
      </c>
      <c r="W17" s="71">
        <v>21.0</v>
      </c>
      <c r="X17" s="71">
        <v>22.0</v>
      </c>
      <c r="Y17" s="71">
        <v>23.0</v>
      </c>
      <c r="Z17" s="71">
        <v>24.0</v>
      </c>
      <c r="AA17" s="71">
        <v>25.0</v>
      </c>
      <c r="AB17" s="71">
        <v>26.0</v>
      </c>
      <c r="AC17" s="71">
        <v>27.0</v>
      </c>
      <c r="AD17" s="71">
        <v>28.0</v>
      </c>
      <c r="AE17" s="71">
        <v>29.0</v>
      </c>
      <c r="AF17" s="71">
        <v>30.0</v>
      </c>
      <c r="AG17" s="71">
        <v>31.0</v>
      </c>
      <c r="AH17" s="72"/>
      <c r="AI17" s="72"/>
      <c r="AJ17" s="72"/>
      <c r="AK17" s="72"/>
    </row>
    <row r="18">
      <c r="A18" s="4" t="s">
        <v>5</v>
      </c>
      <c r="B18" s="4"/>
      <c r="C18" s="74">
        <f t="shared" ref="C18:AG18" si="1">IFERROR(IF(MONTH(DATE(YEAR($B$4),MONTH($B$4),C$17))=MONTH($B$4),DATE(YEAR($B$4),MONTH($B$4),C$17),""),"")</f>
        <v>46235</v>
      </c>
      <c r="D18" s="74">
        <f t="shared" si="1"/>
        <v>46236</v>
      </c>
      <c r="E18" s="74">
        <f t="shared" si="1"/>
        <v>46237</v>
      </c>
      <c r="F18" s="74">
        <f t="shared" si="1"/>
        <v>46238</v>
      </c>
      <c r="G18" s="74">
        <f t="shared" si="1"/>
        <v>46239</v>
      </c>
      <c r="H18" s="74">
        <f t="shared" si="1"/>
        <v>46240</v>
      </c>
      <c r="I18" s="74">
        <f t="shared" si="1"/>
        <v>46241</v>
      </c>
      <c r="J18" s="74">
        <f t="shared" si="1"/>
        <v>46242</v>
      </c>
      <c r="K18" s="74">
        <f t="shared" si="1"/>
        <v>46243</v>
      </c>
      <c r="L18" s="74">
        <f t="shared" si="1"/>
        <v>46244</v>
      </c>
      <c r="M18" s="74">
        <f t="shared" si="1"/>
        <v>46245</v>
      </c>
      <c r="N18" s="74">
        <f t="shared" si="1"/>
        <v>46246</v>
      </c>
      <c r="O18" s="74">
        <f t="shared" si="1"/>
        <v>46247</v>
      </c>
      <c r="P18" s="74">
        <f t="shared" si="1"/>
        <v>46248</v>
      </c>
      <c r="Q18" s="74">
        <f t="shared" si="1"/>
        <v>46249</v>
      </c>
      <c r="R18" s="74">
        <f t="shared" si="1"/>
        <v>46250</v>
      </c>
      <c r="S18" s="74">
        <f t="shared" si="1"/>
        <v>46251</v>
      </c>
      <c r="T18" s="74">
        <f t="shared" si="1"/>
        <v>46252</v>
      </c>
      <c r="U18" s="74">
        <f t="shared" si="1"/>
        <v>46253</v>
      </c>
      <c r="V18" s="74">
        <f t="shared" si="1"/>
        <v>46254</v>
      </c>
      <c r="W18" s="74">
        <f t="shared" si="1"/>
        <v>46255</v>
      </c>
      <c r="X18" s="74">
        <f t="shared" si="1"/>
        <v>46256</v>
      </c>
      <c r="Y18" s="74">
        <f t="shared" si="1"/>
        <v>46257</v>
      </c>
      <c r="Z18" s="74">
        <f t="shared" si="1"/>
        <v>46258</v>
      </c>
      <c r="AA18" s="74">
        <f t="shared" si="1"/>
        <v>46259</v>
      </c>
      <c r="AB18" s="74">
        <f t="shared" si="1"/>
        <v>46260</v>
      </c>
      <c r="AC18" s="74">
        <f t="shared" si="1"/>
        <v>46261</v>
      </c>
      <c r="AD18" s="74">
        <f t="shared" si="1"/>
        <v>46262</v>
      </c>
      <c r="AE18" s="74">
        <f t="shared" si="1"/>
        <v>46263</v>
      </c>
      <c r="AF18" s="74">
        <f t="shared" si="1"/>
        <v>46264</v>
      </c>
      <c r="AG18" s="74">
        <f t="shared" si="1"/>
        <v>46265</v>
      </c>
      <c r="AH18" s="72"/>
      <c r="AI18" s="72"/>
      <c r="AJ18" s="72"/>
      <c r="AK18" s="72"/>
    </row>
    <row r="19">
      <c r="A19" s="4" t="s">
        <v>215</v>
      </c>
      <c r="B19" s="4"/>
      <c r="C19" s="71">
        <f t="shared" ref="C19:AG19" si="2">IFERROR(IF(C18="","",IF(CHOOSE(WEEKDAY(C18,2),$B$9,$B$10,$B$11,$B$12,$B$13,$B$14,$B$15)="Có",1,0)),"")</f>
        <v>0</v>
      </c>
      <c r="D19" s="71">
        <f t="shared" si="2"/>
        <v>0</v>
      </c>
      <c r="E19" s="71">
        <f t="shared" si="2"/>
        <v>0</v>
      </c>
      <c r="F19" s="71">
        <f t="shared" si="2"/>
        <v>0</v>
      </c>
      <c r="G19" s="71">
        <f t="shared" si="2"/>
        <v>0</v>
      </c>
      <c r="H19" s="71">
        <f t="shared" si="2"/>
        <v>0</v>
      </c>
      <c r="I19" s="71">
        <f t="shared" si="2"/>
        <v>0</v>
      </c>
      <c r="J19" s="71">
        <f t="shared" si="2"/>
        <v>0</v>
      </c>
      <c r="K19" s="71">
        <f t="shared" si="2"/>
        <v>0</v>
      </c>
      <c r="L19" s="71">
        <f t="shared" si="2"/>
        <v>0</v>
      </c>
      <c r="M19" s="71">
        <f t="shared" si="2"/>
        <v>0</v>
      </c>
      <c r="N19" s="71">
        <f t="shared" si="2"/>
        <v>0</v>
      </c>
      <c r="O19" s="71">
        <f t="shared" si="2"/>
        <v>0</v>
      </c>
      <c r="P19" s="71">
        <f t="shared" si="2"/>
        <v>0</v>
      </c>
      <c r="Q19" s="71">
        <f t="shared" si="2"/>
        <v>0</v>
      </c>
      <c r="R19" s="71">
        <f t="shared" si="2"/>
        <v>0</v>
      </c>
      <c r="S19" s="71">
        <f t="shared" si="2"/>
        <v>0</v>
      </c>
      <c r="T19" s="71">
        <f t="shared" si="2"/>
        <v>0</v>
      </c>
      <c r="U19" s="71">
        <f t="shared" si="2"/>
        <v>0</v>
      </c>
      <c r="V19" s="71">
        <f t="shared" si="2"/>
        <v>0</v>
      </c>
      <c r="W19" s="71">
        <f t="shared" si="2"/>
        <v>0</v>
      </c>
      <c r="X19" s="71">
        <f t="shared" si="2"/>
        <v>0</v>
      </c>
      <c r="Y19" s="71">
        <f t="shared" si="2"/>
        <v>0</v>
      </c>
      <c r="Z19" s="71">
        <f t="shared" si="2"/>
        <v>0</v>
      </c>
      <c r="AA19" s="71">
        <f t="shared" si="2"/>
        <v>0</v>
      </c>
      <c r="AB19" s="71">
        <f t="shared" si="2"/>
        <v>0</v>
      </c>
      <c r="AC19" s="71">
        <f t="shared" si="2"/>
        <v>0</v>
      </c>
      <c r="AD19" s="71">
        <f t="shared" si="2"/>
        <v>0</v>
      </c>
      <c r="AE19" s="71">
        <f t="shared" si="2"/>
        <v>0</v>
      </c>
      <c r="AF19" s="71">
        <f t="shared" si="2"/>
        <v>0</v>
      </c>
      <c r="AG19" s="71">
        <f t="shared" si="2"/>
        <v>0</v>
      </c>
      <c r="AH19" s="72"/>
      <c r="AI19" s="72"/>
      <c r="AJ19" s="72"/>
      <c r="AK19" s="72"/>
    </row>
    <row r="20" ht="27.75" customHeight="1">
      <c r="A20" s="5" t="s">
        <v>14</v>
      </c>
      <c r="B20" s="5" t="s">
        <v>16</v>
      </c>
      <c r="C20" s="5" t="s">
        <v>216</v>
      </c>
      <c r="D20" s="5" t="s">
        <v>217</v>
      </c>
      <c r="E20" s="5" t="s">
        <v>218</v>
      </c>
      <c r="F20" s="5" t="s">
        <v>219</v>
      </c>
      <c r="G20" s="5" t="s">
        <v>220</v>
      </c>
      <c r="H20" s="5" t="s">
        <v>221</v>
      </c>
      <c r="I20" s="5" t="s">
        <v>222</v>
      </c>
      <c r="J20" s="5" t="s">
        <v>223</v>
      </c>
      <c r="K20" s="5" t="s">
        <v>224</v>
      </c>
      <c r="L20" s="5" t="s">
        <v>225</v>
      </c>
      <c r="M20" s="5" t="s">
        <v>226</v>
      </c>
      <c r="N20" s="5" t="s">
        <v>227</v>
      </c>
      <c r="O20" s="5" t="s">
        <v>228</v>
      </c>
      <c r="P20" s="5" t="s">
        <v>229</v>
      </c>
      <c r="Q20" s="5" t="s">
        <v>230</v>
      </c>
      <c r="R20" s="5" t="s">
        <v>231</v>
      </c>
      <c r="S20" s="5" t="s">
        <v>232</v>
      </c>
      <c r="T20" s="5" t="s">
        <v>233</v>
      </c>
      <c r="U20" s="5" t="s">
        <v>234</v>
      </c>
      <c r="V20" s="5" t="s">
        <v>235</v>
      </c>
      <c r="W20" s="5" t="s">
        <v>236</v>
      </c>
      <c r="X20" s="5" t="s">
        <v>237</v>
      </c>
      <c r="Y20" s="5" t="s">
        <v>238</v>
      </c>
      <c r="Z20" s="5" t="s">
        <v>239</v>
      </c>
      <c r="AA20" s="5" t="s">
        <v>240</v>
      </c>
      <c r="AB20" s="5" t="s">
        <v>241</v>
      </c>
      <c r="AC20" s="5" t="s">
        <v>242</v>
      </c>
      <c r="AD20" s="5" t="s">
        <v>243</v>
      </c>
      <c r="AE20" s="5" t="s">
        <v>244</v>
      </c>
      <c r="AF20" s="5" t="s">
        <v>246</v>
      </c>
      <c r="AG20" s="5" t="s">
        <v>247</v>
      </c>
      <c r="AH20" s="5" t="s">
        <v>248</v>
      </c>
      <c r="AI20" s="5" t="s">
        <v>249</v>
      </c>
      <c r="AJ20" s="5" t="s">
        <v>250</v>
      </c>
      <c r="AK20" s="5" t="s">
        <v>15</v>
      </c>
    </row>
    <row r="21" ht="15.75" customHeight="1">
      <c r="A21" s="50"/>
      <c r="B21" s="50"/>
      <c r="C21" s="76"/>
      <c r="D21" s="76"/>
      <c r="E21" s="76"/>
      <c r="F21" s="76"/>
      <c r="G21" s="76"/>
      <c r="H21" s="76"/>
      <c r="I21" s="7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51" t="str">
        <f t="shared" ref="AH21:AH50" si="3">IF(A21="","",COUNTIF(C21:AG21,"C"))</f>
        <v/>
      </c>
      <c r="AI21" s="51" t="str">
        <f t="shared" ref="AI21:AI50" si="4">IF(A21="","",COUNTIF(C21:AG21,"N")+COUNTIF(C21:AG21,"P"))</f>
        <v/>
      </c>
      <c r="AJ21" s="51" t="str">
        <f t="shared" ref="AJ21:AJ50" si="5">IF(A21="","",MAX(0,$B$16-AH21-AI21))</f>
        <v/>
      </c>
      <c r="AK21" s="78"/>
    </row>
    <row r="22" ht="15.75" customHeight="1">
      <c r="A22" s="50"/>
      <c r="B22" s="50"/>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6"/>
      <c r="AD22" s="76"/>
      <c r="AE22" s="76"/>
      <c r="AF22" s="76"/>
      <c r="AG22" s="76"/>
      <c r="AH22" s="51" t="str">
        <f t="shared" si="3"/>
        <v/>
      </c>
      <c r="AI22" s="51" t="str">
        <f t="shared" si="4"/>
        <v/>
      </c>
      <c r="AJ22" s="51" t="str">
        <f t="shared" si="5"/>
        <v/>
      </c>
      <c r="AK22" s="78"/>
    </row>
    <row r="23" ht="15.75" customHeight="1">
      <c r="A23" s="50"/>
      <c r="B23" s="50"/>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6"/>
      <c r="AD23" s="76"/>
      <c r="AE23" s="76"/>
      <c r="AF23" s="76"/>
      <c r="AG23" s="76"/>
      <c r="AH23" s="51" t="str">
        <f t="shared" si="3"/>
        <v/>
      </c>
      <c r="AI23" s="51" t="str">
        <f t="shared" si="4"/>
        <v/>
      </c>
      <c r="AJ23" s="51" t="str">
        <f t="shared" si="5"/>
        <v/>
      </c>
      <c r="AK23" s="78"/>
    </row>
    <row r="24" ht="15.75" customHeight="1">
      <c r="A24" s="50"/>
      <c r="B24" s="50"/>
      <c r="C24" s="76"/>
      <c r="D24" s="76"/>
      <c r="E24" s="76"/>
      <c r="F24" s="76"/>
      <c r="G24" s="76"/>
      <c r="H24" s="76"/>
      <c r="I24" s="76"/>
      <c r="J24" s="76"/>
      <c r="K24" s="76"/>
      <c r="L24" s="76"/>
      <c r="M24" s="76"/>
      <c r="N24" s="76"/>
      <c r="O24" s="76"/>
      <c r="P24" s="76"/>
      <c r="Q24" s="76"/>
      <c r="R24" s="76"/>
      <c r="S24" s="76"/>
      <c r="T24" s="76"/>
      <c r="U24" s="76"/>
      <c r="V24" s="76"/>
      <c r="W24" s="76"/>
      <c r="X24" s="76"/>
      <c r="Y24" s="76"/>
      <c r="Z24" s="76"/>
      <c r="AA24" s="76"/>
      <c r="AB24" s="76"/>
      <c r="AC24" s="76"/>
      <c r="AD24" s="76"/>
      <c r="AE24" s="76"/>
      <c r="AF24" s="76"/>
      <c r="AG24" s="76"/>
      <c r="AH24" s="51" t="str">
        <f t="shared" si="3"/>
        <v/>
      </c>
      <c r="AI24" s="51" t="str">
        <f t="shared" si="4"/>
        <v/>
      </c>
      <c r="AJ24" s="51" t="str">
        <f t="shared" si="5"/>
        <v/>
      </c>
      <c r="AK24" s="78"/>
    </row>
    <row r="25" ht="15.75" customHeight="1">
      <c r="A25" s="50"/>
      <c r="B25" s="50"/>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c r="AF25" s="76"/>
      <c r="AG25" s="76"/>
      <c r="AH25" s="51" t="str">
        <f t="shared" si="3"/>
        <v/>
      </c>
      <c r="AI25" s="51" t="str">
        <f t="shared" si="4"/>
        <v/>
      </c>
      <c r="AJ25" s="51" t="str">
        <f t="shared" si="5"/>
        <v/>
      </c>
      <c r="AK25" s="78"/>
    </row>
    <row r="26" ht="15.75" customHeight="1">
      <c r="A26" s="50"/>
      <c r="B26" s="50"/>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51" t="str">
        <f t="shared" si="3"/>
        <v/>
      </c>
      <c r="AI26" s="51" t="str">
        <f t="shared" si="4"/>
        <v/>
      </c>
      <c r="AJ26" s="51" t="str">
        <f t="shared" si="5"/>
        <v/>
      </c>
      <c r="AK26" s="78"/>
    </row>
    <row r="27" ht="15.75" customHeight="1">
      <c r="A27" s="50"/>
      <c r="B27" s="50"/>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51" t="str">
        <f t="shared" si="3"/>
        <v/>
      </c>
      <c r="AI27" s="51" t="str">
        <f t="shared" si="4"/>
        <v/>
      </c>
      <c r="AJ27" s="51" t="str">
        <f t="shared" si="5"/>
        <v/>
      </c>
      <c r="AK27" s="78"/>
    </row>
    <row r="28" ht="15.75" customHeight="1">
      <c r="A28" s="50"/>
      <c r="B28" s="50"/>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51" t="str">
        <f t="shared" si="3"/>
        <v/>
      </c>
      <c r="AI28" s="51" t="str">
        <f t="shared" si="4"/>
        <v/>
      </c>
      <c r="AJ28" s="51" t="str">
        <f t="shared" si="5"/>
        <v/>
      </c>
      <c r="AK28" s="78"/>
    </row>
    <row r="29" ht="15.75" customHeight="1">
      <c r="A29" s="50"/>
      <c r="B29" s="50"/>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c r="AF29" s="76"/>
      <c r="AG29" s="76"/>
      <c r="AH29" s="51" t="str">
        <f t="shared" si="3"/>
        <v/>
      </c>
      <c r="AI29" s="51" t="str">
        <f t="shared" si="4"/>
        <v/>
      </c>
      <c r="AJ29" s="51" t="str">
        <f t="shared" si="5"/>
        <v/>
      </c>
      <c r="AK29" s="78"/>
    </row>
    <row r="30" ht="15.75" customHeight="1">
      <c r="A30" s="50"/>
      <c r="B30" s="50"/>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6"/>
      <c r="AD30" s="76"/>
      <c r="AE30" s="76"/>
      <c r="AF30" s="76"/>
      <c r="AG30" s="76"/>
      <c r="AH30" s="51" t="str">
        <f t="shared" si="3"/>
        <v/>
      </c>
      <c r="AI30" s="51" t="str">
        <f t="shared" si="4"/>
        <v/>
      </c>
      <c r="AJ30" s="51" t="str">
        <f t="shared" si="5"/>
        <v/>
      </c>
      <c r="AK30" s="78"/>
    </row>
    <row r="31" ht="15.75" customHeight="1">
      <c r="A31" s="50"/>
      <c r="B31" s="50"/>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c r="AF31" s="76"/>
      <c r="AG31" s="76"/>
      <c r="AH31" s="51" t="str">
        <f t="shared" si="3"/>
        <v/>
      </c>
      <c r="AI31" s="51" t="str">
        <f t="shared" si="4"/>
        <v/>
      </c>
      <c r="AJ31" s="51" t="str">
        <f t="shared" si="5"/>
        <v/>
      </c>
      <c r="AK31" s="78"/>
    </row>
    <row r="32" ht="15.75" customHeight="1">
      <c r="A32" s="50"/>
      <c r="B32" s="50"/>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51" t="str">
        <f t="shared" si="3"/>
        <v/>
      </c>
      <c r="AI32" s="51" t="str">
        <f t="shared" si="4"/>
        <v/>
      </c>
      <c r="AJ32" s="51" t="str">
        <f t="shared" si="5"/>
        <v/>
      </c>
      <c r="AK32" s="78"/>
    </row>
    <row r="33" ht="15.75" customHeight="1">
      <c r="A33" s="50"/>
      <c r="B33" s="50"/>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c r="AF33" s="76"/>
      <c r="AG33" s="76"/>
      <c r="AH33" s="51" t="str">
        <f t="shared" si="3"/>
        <v/>
      </c>
      <c r="AI33" s="51" t="str">
        <f t="shared" si="4"/>
        <v/>
      </c>
      <c r="AJ33" s="51" t="str">
        <f t="shared" si="5"/>
        <v/>
      </c>
      <c r="AK33" s="78"/>
    </row>
    <row r="34" ht="15.75" customHeight="1">
      <c r="A34" s="50"/>
      <c r="B34" s="50"/>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c r="AF34" s="76"/>
      <c r="AG34" s="76"/>
      <c r="AH34" s="51" t="str">
        <f t="shared" si="3"/>
        <v/>
      </c>
      <c r="AI34" s="51" t="str">
        <f t="shared" si="4"/>
        <v/>
      </c>
      <c r="AJ34" s="51" t="str">
        <f t="shared" si="5"/>
        <v/>
      </c>
      <c r="AK34" s="78"/>
    </row>
    <row r="35" ht="15.75" customHeight="1">
      <c r="A35" s="50"/>
      <c r="B35" s="50"/>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6"/>
      <c r="AF35" s="76"/>
      <c r="AG35" s="76"/>
      <c r="AH35" s="51" t="str">
        <f t="shared" si="3"/>
        <v/>
      </c>
      <c r="AI35" s="51" t="str">
        <f t="shared" si="4"/>
        <v/>
      </c>
      <c r="AJ35" s="51" t="str">
        <f t="shared" si="5"/>
        <v/>
      </c>
      <c r="AK35" s="78"/>
    </row>
    <row r="36" ht="15.75" customHeight="1">
      <c r="A36" s="50"/>
      <c r="B36" s="50"/>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51" t="str">
        <f t="shared" si="3"/>
        <v/>
      </c>
      <c r="AI36" s="51" t="str">
        <f t="shared" si="4"/>
        <v/>
      </c>
      <c r="AJ36" s="51" t="str">
        <f t="shared" si="5"/>
        <v/>
      </c>
      <c r="AK36" s="78"/>
    </row>
    <row r="37" ht="15.75" customHeight="1">
      <c r="A37" s="50"/>
      <c r="B37" s="50"/>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51" t="str">
        <f t="shared" si="3"/>
        <v/>
      </c>
      <c r="AI37" s="51" t="str">
        <f t="shared" si="4"/>
        <v/>
      </c>
      <c r="AJ37" s="51" t="str">
        <f t="shared" si="5"/>
        <v/>
      </c>
      <c r="AK37" s="78"/>
    </row>
    <row r="38" ht="15.75" customHeight="1">
      <c r="A38" s="50"/>
      <c r="B38" s="50"/>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6"/>
      <c r="AC38" s="76"/>
      <c r="AD38" s="76"/>
      <c r="AE38" s="76"/>
      <c r="AF38" s="76"/>
      <c r="AG38" s="76"/>
      <c r="AH38" s="51" t="str">
        <f t="shared" si="3"/>
        <v/>
      </c>
      <c r="AI38" s="51" t="str">
        <f t="shared" si="4"/>
        <v/>
      </c>
      <c r="AJ38" s="51" t="str">
        <f t="shared" si="5"/>
        <v/>
      </c>
      <c r="AK38" s="78"/>
    </row>
    <row r="39" ht="15.75" customHeight="1">
      <c r="A39" s="50"/>
      <c r="B39" s="50"/>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51" t="str">
        <f t="shared" si="3"/>
        <v/>
      </c>
      <c r="AI39" s="51" t="str">
        <f t="shared" si="4"/>
        <v/>
      </c>
      <c r="AJ39" s="51" t="str">
        <f t="shared" si="5"/>
        <v/>
      </c>
      <c r="AK39" s="78"/>
    </row>
    <row r="40" ht="15.75" customHeight="1">
      <c r="A40" s="50"/>
      <c r="B40" s="50"/>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51" t="str">
        <f t="shared" si="3"/>
        <v/>
      </c>
      <c r="AI40" s="51" t="str">
        <f t="shared" si="4"/>
        <v/>
      </c>
      <c r="AJ40" s="51" t="str">
        <f t="shared" si="5"/>
        <v/>
      </c>
      <c r="AK40" s="78"/>
    </row>
    <row r="41" ht="15.75" customHeight="1">
      <c r="A41" s="50"/>
      <c r="B41" s="50"/>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c r="AF41" s="76"/>
      <c r="AG41" s="76"/>
      <c r="AH41" s="51" t="str">
        <f t="shared" si="3"/>
        <v/>
      </c>
      <c r="AI41" s="51" t="str">
        <f t="shared" si="4"/>
        <v/>
      </c>
      <c r="AJ41" s="51" t="str">
        <f t="shared" si="5"/>
        <v/>
      </c>
      <c r="AK41" s="78"/>
    </row>
    <row r="42" ht="15.75" customHeight="1">
      <c r="A42" s="50"/>
      <c r="B42" s="50"/>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51" t="str">
        <f t="shared" si="3"/>
        <v/>
      </c>
      <c r="AI42" s="51" t="str">
        <f t="shared" si="4"/>
        <v/>
      </c>
      <c r="AJ42" s="51" t="str">
        <f t="shared" si="5"/>
        <v/>
      </c>
      <c r="AK42" s="78"/>
    </row>
    <row r="43" ht="15.75" customHeight="1">
      <c r="A43" s="50"/>
      <c r="B43" s="50"/>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51" t="str">
        <f t="shared" si="3"/>
        <v/>
      </c>
      <c r="AI43" s="51" t="str">
        <f t="shared" si="4"/>
        <v/>
      </c>
      <c r="AJ43" s="51" t="str">
        <f t="shared" si="5"/>
        <v/>
      </c>
      <c r="AK43" s="78"/>
    </row>
    <row r="44" ht="15.75" customHeight="1">
      <c r="A44" s="50"/>
      <c r="B44" s="50"/>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51" t="str">
        <f t="shared" si="3"/>
        <v/>
      </c>
      <c r="AI44" s="51" t="str">
        <f t="shared" si="4"/>
        <v/>
      </c>
      <c r="AJ44" s="51" t="str">
        <f t="shared" si="5"/>
        <v/>
      </c>
      <c r="AK44" s="78"/>
    </row>
    <row r="45" ht="15.75" customHeight="1">
      <c r="A45" s="50"/>
      <c r="B45" s="50"/>
      <c r="C45" s="76"/>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51" t="str">
        <f t="shared" si="3"/>
        <v/>
      </c>
      <c r="AI45" s="51" t="str">
        <f t="shared" si="4"/>
        <v/>
      </c>
      <c r="AJ45" s="51" t="str">
        <f t="shared" si="5"/>
        <v/>
      </c>
      <c r="AK45" s="78"/>
    </row>
    <row r="46" ht="15.75" customHeight="1">
      <c r="A46" s="50"/>
      <c r="B46" s="50"/>
      <c r="C46" s="76"/>
      <c r="D46" s="76"/>
      <c r="E46" s="76"/>
      <c r="F46" s="76"/>
      <c r="G46" s="76"/>
      <c r="H46" s="76"/>
      <c r="I46" s="76"/>
      <c r="J46" s="76"/>
      <c r="K46" s="76"/>
      <c r="L46" s="76"/>
      <c r="M46" s="76"/>
      <c r="N46" s="76"/>
      <c r="O46" s="76"/>
      <c r="P46" s="76"/>
      <c r="Q46" s="76"/>
      <c r="R46" s="76"/>
      <c r="S46" s="76"/>
      <c r="T46" s="76"/>
      <c r="U46" s="76"/>
      <c r="V46" s="76"/>
      <c r="W46" s="76"/>
      <c r="X46" s="76"/>
      <c r="Y46" s="76"/>
      <c r="Z46" s="76"/>
      <c r="AA46" s="76"/>
      <c r="AB46" s="76"/>
      <c r="AC46" s="76"/>
      <c r="AD46" s="76"/>
      <c r="AE46" s="76"/>
      <c r="AF46" s="76"/>
      <c r="AG46" s="76"/>
      <c r="AH46" s="51" t="str">
        <f t="shared" si="3"/>
        <v/>
      </c>
      <c r="AI46" s="51" t="str">
        <f t="shared" si="4"/>
        <v/>
      </c>
      <c r="AJ46" s="51" t="str">
        <f t="shared" si="5"/>
        <v/>
      </c>
      <c r="AK46" s="78"/>
    </row>
    <row r="47" ht="15.75" customHeight="1">
      <c r="A47" s="50"/>
      <c r="B47" s="50"/>
      <c r="C47" s="76"/>
      <c r="D47" s="76"/>
      <c r="E47" s="76"/>
      <c r="F47" s="76"/>
      <c r="G47" s="76"/>
      <c r="H47" s="76"/>
      <c r="I47" s="76"/>
      <c r="J47" s="76"/>
      <c r="K47" s="76"/>
      <c r="L47" s="76"/>
      <c r="M47" s="76"/>
      <c r="N47" s="76"/>
      <c r="O47" s="76"/>
      <c r="P47" s="76"/>
      <c r="Q47" s="76"/>
      <c r="R47" s="76"/>
      <c r="S47" s="76"/>
      <c r="T47" s="76"/>
      <c r="U47" s="76"/>
      <c r="V47" s="76"/>
      <c r="W47" s="76"/>
      <c r="X47" s="76"/>
      <c r="Y47" s="76"/>
      <c r="Z47" s="76"/>
      <c r="AA47" s="76"/>
      <c r="AB47" s="76"/>
      <c r="AC47" s="76"/>
      <c r="AD47" s="76"/>
      <c r="AE47" s="76"/>
      <c r="AF47" s="76"/>
      <c r="AG47" s="76"/>
      <c r="AH47" s="51" t="str">
        <f t="shared" si="3"/>
        <v/>
      </c>
      <c r="AI47" s="51" t="str">
        <f t="shared" si="4"/>
        <v/>
      </c>
      <c r="AJ47" s="51" t="str">
        <f t="shared" si="5"/>
        <v/>
      </c>
      <c r="AK47" s="78"/>
    </row>
    <row r="48" ht="15.75" customHeight="1">
      <c r="A48" s="50"/>
      <c r="B48" s="50"/>
      <c r="C48" s="76"/>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51" t="str">
        <f t="shared" si="3"/>
        <v/>
      </c>
      <c r="AI48" s="51" t="str">
        <f t="shared" si="4"/>
        <v/>
      </c>
      <c r="AJ48" s="51" t="str">
        <f t="shared" si="5"/>
        <v/>
      </c>
      <c r="AK48" s="78"/>
    </row>
    <row r="49" ht="15.75" customHeight="1">
      <c r="A49" s="50"/>
      <c r="B49" s="50"/>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51" t="str">
        <f t="shared" si="3"/>
        <v/>
      </c>
      <c r="AI49" s="51" t="str">
        <f t="shared" si="4"/>
        <v/>
      </c>
      <c r="AJ49" s="51" t="str">
        <f t="shared" si="5"/>
        <v/>
      </c>
      <c r="AK49" s="78"/>
    </row>
    <row r="50" ht="15.75" customHeight="1">
      <c r="A50" s="50"/>
      <c r="B50" s="50"/>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51" t="str">
        <f t="shared" si="3"/>
        <v/>
      </c>
      <c r="AI50" s="51" t="str">
        <f t="shared" si="4"/>
        <v/>
      </c>
      <c r="AJ50" s="51" t="str">
        <f t="shared" si="5"/>
        <v/>
      </c>
      <c r="AK50" s="78"/>
    </row>
    <row r="51" ht="15.75" customHeight="1">
      <c r="A51" s="50"/>
      <c r="B51" s="50"/>
      <c r="C51" s="76"/>
      <c r="D51" s="76"/>
      <c r="E51" s="76"/>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51"/>
      <c r="AI51" s="51"/>
      <c r="AJ51" s="51"/>
      <c r="AK51" s="14"/>
    </row>
    <row r="52" ht="15.75" customHeight="1">
      <c r="A52" s="50"/>
      <c r="B52" s="50"/>
      <c r="C52" s="76"/>
      <c r="D52" s="76"/>
      <c r="E52" s="76"/>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51"/>
      <c r="AI52" s="51"/>
      <c r="AJ52" s="51"/>
      <c r="AK52" s="14"/>
    </row>
    <row r="53" ht="15.75" customHeight="1">
      <c r="A53" s="50"/>
      <c r="B53" s="50"/>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51"/>
      <c r="AI53" s="51"/>
      <c r="AJ53" s="51"/>
      <c r="AK53" s="14"/>
    </row>
    <row r="54" ht="15.75" customHeight="1">
      <c r="A54" s="50"/>
      <c r="B54" s="50"/>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51"/>
      <c r="AI54" s="51"/>
      <c r="AJ54" s="51"/>
      <c r="AK54" s="14"/>
    </row>
    <row r="55" ht="15.75" customHeight="1">
      <c r="A55" s="50"/>
      <c r="B55" s="50"/>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51"/>
      <c r="AI55" s="51"/>
      <c r="AJ55" s="51"/>
      <c r="AK55" s="14"/>
    </row>
    <row r="56" ht="15.75" customHeight="1">
      <c r="A56" s="50"/>
      <c r="B56" s="50"/>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51"/>
      <c r="AI56" s="51"/>
      <c r="AJ56" s="51"/>
      <c r="AK56" s="14"/>
    </row>
    <row r="57" ht="15.75" customHeight="1">
      <c r="A57" s="50"/>
      <c r="B57" s="50"/>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51"/>
      <c r="AI57" s="51"/>
      <c r="AJ57" s="51"/>
      <c r="AK57" s="14"/>
    </row>
    <row r="58" ht="15.75" customHeight="1">
      <c r="A58" s="50"/>
      <c r="B58" s="50"/>
      <c r="C58" s="76"/>
      <c r="D58" s="76"/>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51"/>
      <c r="AI58" s="51"/>
      <c r="AJ58" s="51"/>
      <c r="AK58" s="14"/>
    </row>
    <row r="59" ht="15.75" customHeight="1">
      <c r="A59" s="50"/>
      <c r="B59" s="50"/>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51"/>
      <c r="AI59" s="51"/>
      <c r="AJ59" s="51"/>
      <c r="AK59" s="14"/>
    </row>
    <row r="60" ht="15.75" customHeight="1">
      <c r="A60" s="50"/>
      <c r="B60" s="50"/>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51"/>
      <c r="AI60" s="51"/>
      <c r="AJ60" s="51"/>
      <c r="AK60" s="14"/>
    </row>
    <row r="61" ht="15.75" customHeight="1">
      <c r="A61" s="50"/>
      <c r="B61" s="50"/>
      <c r="C61" s="76"/>
      <c r="D61" s="76"/>
      <c r="E61" s="76"/>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51"/>
      <c r="AI61" s="51"/>
      <c r="AJ61" s="51"/>
      <c r="AK61" s="14"/>
    </row>
    <row r="62" ht="15.75" customHeight="1">
      <c r="A62" s="50"/>
      <c r="B62" s="50"/>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51"/>
      <c r="AI62" s="51"/>
      <c r="AJ62" s="51"/>
      <c r="AK62" s="14"/>
    </row>
    <row r="63" ht="15.75" customHeight="1">
      <c r="A63" s="50"/>
      <c r="B63" s="50"/>
      <c r="C63" s="76"/>
      <c r="D63" s="76"/>
      <c r="E63" s="76"/>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51"/>
      <c r="AI63" s="51"/>
      <c r="AJ63" s="51"/>
      <c r="AK63" s="14"/>
    </row>
    <row r="64" ht="15.75" customHeight="1">
      <c r="A64" s="50"/>
      <c r="B64" s="50"/>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51"/>
      <c r="AI64" s="51"/>
      <c r="AJ64" s="51"/>
      <c r="AK64" s="14"/>
    </row>
    <row r="65" ht="15.75" customHeight="1">
      <c r="A65" s="50"/>
      <c r="B65" s="50"/>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51"/>
      <c r="AI65" s="51"/>
      <c r="AJ65" s="51"/>
      <c r="AK65" s="14"/>
    </row>
    <row r="66" ht="15.75" customHeight="1">
      <c r="A66" s="50"/>
      <c r="B66" s="50"/>
      <c r="C66" s="76"/>
      <c r="D66" s="76"/>
      <c r="E66" s="76"/>
      <c r="F66" s="76"/>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51"/>
      <c r="AI66" s="51"/>
      <c r="AJ66" s="51"/>
      <c r="AK66" s="14"/>
    </row>
    <row r="67" ht="15.75" customHeight="1">
      <c r="A67" s="50"/>
      <c r="B67" s="50"/>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51"/>
      <c r="AI67" s="51"/>
      <c r="AJ67" s="51"/>
      <c r="AK67" s="14"/>
    </row>
    <row r="68" ht="15.75" customHeight="1">
      <c r="A68" s="50"/>
      <c r="B68" s="50"/>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51"/>
      <c r="AI68" s="51"/>
      <c r="AJ68" s="51"/>
      <c r="AK68" s="14"/>
    </row>
    <row r="69" ht="15.75" customHeight="1">
      <c r="A69" s="50"/>
      <c r="B69" s="50"/>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51"/>
      <c r="AI69" s="51"/>
      <c r="AJ69" s="51"/>
      <c r="AK69" s="14"/>
    </row>
    <row r="70" ht="15.75" customHeight="1">
      <c r="A70" s="50"/>
      <c r="B70" s="50"/>
      <c r="C70" s="76"/>
      <c r="D70" s="76"/>
      <c r="E70" s="76"/>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51"/>
      <c r="AI70" s="51"/>
      <c r="AJ70" s="51"/>
      <c r="AK70" s="14"/>
    </row>
    <row r="71" ht="15.75" customHeight="1">
      <c r="A71" s="50"/>
      <c r="B71" s="50"/>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51"/>
      <c r="AI71" s="51"/>
      <c r="AJ71" s="51"/>
      <c r="AK71" s="14"/>
    </row>
    <row r="72" ht="15.75" customHeight="1">
      <c r="A72" s="50"/>
      <c r="B72" s="50"/>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51"/>
      <c r="AI72" s="51"/>
      <c r="AJ72" s="51"/>
      <c r="AK72" s="14"/>
    </row>
    <row r="73" ht="15.75" customHeight="1">
      <c r="A73" s="50"/>
      <c r="B73" s="50"/>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51"/>
      <c r="AI73" s="51"/>
      <c r="AJ73" s="51"/>
      <c r="AK73" s="14"/>
    </row>
    <row r="74" ht="15.75" customHeight="1">
      <c r="A74" s="50"/>
      <c r="B74" s="50"/>
      <c r="C74" s="76"/>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51"/>
      <c r="AI74" s="51"/>
      <c r="AJ74" s="51"/>
      <c r="AK74" s="14"/>
    </row>
    <row r="75" ht="15.75" customHeight="1">
      <c r="A75" s="50"/>
      <c r="B75" s="50"/>
      <c r="C75" s="76"/>
      <c r="D75" s="76"/>
      <c r="E75" s="76"/>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51"/>
      <c r="AI75" s="51"/>
      <c r="AJ75" s="51"/>
      <c r="AK75" s="14"/>
    </row>
    <row r="76" ht="15.75" customHeight="1">
      <c r="A76" s="50"/>
      <c r="B76" s="50"/>
      <c r="C76" s="76"/>
      <c r="D76" s="76"/>
      <c r="E76" s="76"/>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51"/>
      <c r="AI76" s="51"/>
      <c r="AJ76" s="51"/>
      <c r="AK76" s="14"/>
    </row>
    <row r="77" ht="15.75" customHeight="1">
      <c r="A77" s="50"/>
      <c r="B77" s="50"/>
      <c r="C77" s="76"/>
      <c r="D77" s="76"/>
      <c r="E77" s="76"/>
      <c r="F77" s="76"/>
      <c r="G77" s="76"/>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51"/>
      <c r="AI77" s="51"/>
      <c r="AJ77" s="51"/>
      <c r="AK77" s="14"/>
    </row>
    <row r="78" ht="15.75" customHeight="1">
      <c r="A78" s="50"/>
      <c r="B78" s="50"/>
      <c r="C78" s="76"/>
      <c r="D78" s="76"/>
      <c r="E78" s="76"/>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51"/>
      <c r="AI78" s="51"/>
      <c r="AJ78" s="51"/>
      <c r="AK78" s="14"/>
    </row>
    <row r="79" ht="15.75" customHeight="1">
      <c r="A79" s="50"/>
      <c r="B79" s="50"/>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51"/>
      <c r="AI79" s="51"/>
      <c r="AJ79" s="51"/>
      <c r="AK79" s="14"/>
    </row>
    <row r="80" ht="15.75" customHeight="1">
      <c r="A80" s="50"/>
      <c r="B80" s="50"/>
      <c r="C80" s="76"/>
      <c r="D80" s="76"/>
      <c r="E80" s="76"/>
      <c r="F80" s="76"/>
      <c r="G80" s="76"/>
      <c r="H80" s="76"/>
      <c r="I80" s="76"/>
      <c r="J80" s="76"/>
      <c r="K80" s="76"/>
      <c r="L80" s="76"/>
      <c r="M80" s="76"/>
      <c r="N80" s="76"/>
      <c r="O80" s="76"/>
      <c r="P80" s="76"/>
      <c r="Q80" s="76"/>
      <c r="R80" s="76"/>
      <c r="S80" s="76"/>
      <c r="T80" s="76"/>
      <c r="U80" s="76"/>
      <c r="V80" s="76"/>
      <c r="W80" s="76"/>
      <c r="X80" s="76"/>
      <c r="Y80" s="76"/>
      <c r="Z80" s="76"/>
      <c r="AA80" s="76"/>
      <c r="AB80" s="76"/>
      <c r="AC80" s="76"/>
      <c r="AD80" s="76"/>
      <c r="AE80" s="76"/>
      <c r="AF80" s="76"/>
      <c r="AG80" s="76"/>
      <c r="AH80" s="51"/>
      <c r="AI80" s="51"/>
      <c r="AJ80" s="51"/>
      <c r="AK80" s="14"/>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K1"/>
  </mergeCells>
  <conditionalFormatting sqref="C21:AG50">
    <cfRule type="expression" dxfId="5" priority="1">
      <formula>C$19&lt;&gt;1</formula>
    </cfRule>
  </conditionalFormatting>
  <conditionalFormatting sqref="C21:AG80">
    <cfRule type="expression" dxfId="0" priority="2">
      <formula>C21="C"</formula>
    </cfRule>
  </conditionalFormatting>
  <conditionalFormatting sqref="C21:AG80">
    <cfRule type="expression" dxfId="1" priority="3">
      <formula>C21="N"</formula>
    </cfRule>
  </conditionalFormatting>
  <conditionalFormatting sqref="C17:AG20">
    <cfRule type="expression" dxfId="6" priority="4">
      <formula>C$19=1</formula>
    </cfRule>
  </conditionalFormatting>
  <dataValidations>
    <dataValidation type="list" allowBlank="1" sqref="C21:AG80">
      <formula1>"C,N"</formula1>
    </dataValidation>
  </dataValidations>
  <printOptions/>
  <pageMargins bottom="0.75" footer="0.0" header="0.0" left="0.7" right="0.7" top="0.75"/>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4.0"/>
    <col customWidth="1" min="3" max="3" width="38.0"/>
    <col customWidth="1" min="4" max="4" width="34.0"/>
    <col customWidth="1" min="5" max="26" width="8.63"/>
  </cols>
  <sheetData>
    <row r="1" ht="30.0" customHeight="1">
      <c r="A1" s="63" t="s">
        <v>151</v>
      </c>
    </row>
    <row r="2">
      <c r="A2" s="14"/>
      <c r="B2" s="14"/>
      <c r="C2" s="14"/>
      <c r="D2" s="14"/>
    </row>
    <row r="3" ht="27.75" customHeight="1">
      <c r="A3" s="5" t="s">
        <v>152</v>
      </c>
      <c r="B3" s="5" t="s">
        <v>153</v>
      </c>
      <c r="C3" s="5" t="s">
        <v>154</v>
      </c>
      <c r="D3" s="5" t="s">
        <v>155</v>
      </c>
    </row>
    <row r="4">
      <c r="A4" s="14" t="s">
        <v>380</v>
      </c>
      <c r="B4" s="14">
        <f>IFERROR(DIEU_KHIEN!$B$4,"LỖI LIÊN KẾT")</f>
        <v>46235</v>
      </c>
      <c r="C4" s="14" t="s">
        <v>381</v>
      </c>
      <c r="D4" s="14" t="s">
        <v>382</v>
      </c>
    </row>
    <row r="5">
      <c r="A5" s="14" t="s">
        <v>383</v>
      </c>
      <c r="B5" s="14" t="str">
        <f>IFERROR(DANH_MUC_LOP!$B$4,"LỖI LIÊN KẾT")</f>
        <v>L06</v>
      </c>
      <c r="C5" s="14" t="s">
        <v>384</v>
      </c>
      <c r="D5" s="14" t="s">
        <v>385</v>
      </c>
    </row>
    <row r="6">
      <c r="A6" s="14" t="s">
        <v>33</v>
      </c>
      <c r="B6" s="14" t="str">
        <f>IF(OR(B4="",B5="",B4="LỖI LIÊN KẾT",B5="LỖI LIÊN KẾT"),"CẦN UPDATE LINK","OK")</f>
        <v>OK</v>
      </c>
      <c r="C6" s="14"/>
      <c r="D6" s="14" t="s">
        <v>386</v>
      </c>
    </row>
    <row r="7">
      <c r="A7" s="14"/>
      <c r="B7" s="14"/>
      <c r="C7" s="14"/>
      <c r="D7" s="14"/>
    </row>
    <row r="8">
      <c r="A8" s="14"/>
      <c r="B8" s="14"/>
      <c r="C8" s="14"/>
      <c r="D8" s="14"/>
    </row>
    <row r="9">
      <c r="A9" s="66" t="s">
        <v>179</v>
      </c>
      <c r="B9" s="66"/>
      <c r="C9" s="66"/>
      <c r="D9" s="66"/>
    </row>
    <row r="10">
      <c r="A10" s="14" t="s">
        <v>168</v>
      </c>
      <c r="B10" s="14" t="s">
        <v>184</v>
      </c>
      <c r="C10" s="14"/>
      <c r="D10" s="14"/>
    </row>
    <row r="11">
      <c r="A11" s="14" t="s">
        <v>170</v>
      </c>
      <c r="B11" s="14" t="s">
        <v>185</v>
      </c>
      <c r="C11" s="14"/>
      <c r="D11" s="14"/>
    </row>
    <row r="12">
      <c r="A12" s="65"/>
      <c r="B12" s="65"/>
      <c r="C12" s="65"/>
      <c r="D12" s="65"/>
    </row>
    <row r="13">
      <c r="A13" s="65"/>
      <c r="B13" s="65"/>
      <c r="C13" s="65"/>
      <c r="D13" s="65"/>
    </row>
    <row r="14">
      <c r="A14" s="65"/>
      <c r="B14" s="65"/>
      <c r="C14" s="65"/>
      <c r="D14" s="65"/>
    </row>
    <row r="15">
      <c r="A15" s="65"/>
      <c r="B15" s="65"/>
      <c r="C15" s="65"/>
      <c r="D15" s="65"/>
    </row>
    <row r="16">
      <c r="A16" s="65"/>
      <c r="B16" s="65"/>
      <c r="C16" s="65"/>
      <c r="D16" s="65"/>
    </row>
    <row r="17">
      <c r="A17" s="65"/>
      <c r="B17" s="65"/>
      <c r="C17" s="65"/>
      <c r="D17" s="65"/>
    </row>
    <row r="18">
      <c r="A18" s="65"/>
      <c r="B18" s="65"/>
      <c r="C18" s="65"/>
      <c r="D18" s="65"/>
    </row>
    <row r="19">
      <c r="A19" s="65"/>
      <c r="B19" s="65"/>
      <c r="C19" s="65"/>
      <c r="D19" s="65"/>
    </row>
    <row r="20">
      <c r="A20" s="65"/>
      <c r="B20" s="65"/>
      <c r="C20" s="65"/>
      <c r="D20" s="65"/>
    </row>
    <row r="21" ht="15.75" customHeight="1">
      <c r="A21" s="65"/>
      <c r="B21" s="65"/>
      <c r="C21" s="65"/>
      <c r="D21" s="65"/>
    </row>
    <row r="22" ht="15.75" customHeight="1">
      <c r="A22" s="65"/>
      <c r="B22" s="65"/>
      <c r="C22" s="65"/>
      <c r="D22" s="65"/>
    </row>
    <row r="23" ht="15.75" customHeight="1">
      <c r="A23" s="65"/>
      <c r="B23" s="65"/>
      <c r="C23" s="65"/>
      <c r="D23" s="65"/>
    </row>
    <row r="24" ht="15.75" customHeight="1">
      <c r="A24" s="65"/>
      <c r="B24" s="65"/>
      <c r="C24" s="65"/>
      <c r="D24" s="65"/>
    </row>
    <row r="25" ht="15.75" customHeight="1">
      <c r="A25" s="65"/>
      <c r="B25" s="65"/>
      <c r="C25" s="65"/>
      <c r="D25" s="65"/>
    </row>
    <row r="26" ht="15.75" customHeight="1">
      <c r="A26" s="65"/>
      <c r="B26" s="65"/>
      <c r="C26" s="65"/>
      <c r="D26" s="65"/>
    </row>
    <row r="27" ht="15.75" customHeight="1">
      <c r="A27" s="65"/>
      <c r="B27" s="65"/>
      <c r="C27" s="65"/>
      <c r="D27" s="65"/>
    </row>
    <row r="28" ht="15.75" customHeight="1">
      <c r="A28" s="65"/>
      <c r="B28" s="65"/>
      <c r="C28" s="65"/>
      <c r="D28" s="65"/>
    </row>
    <row r="29" ht="15.75" customHeight="1">
      <c r="A29" s="65"/>
      <c r="B29" s="65"/>
      <c r="C29" s="65"/>
      <c r="D29" s="65"/>
    </row>
    <row r="30" ht="15.75" customHeight="1">
      <c r="A30" s="65"/>
      <c r="B30" s="65"/>
      <c r="C30" s="65"/>
      <c r="D30" s="6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conditionalFormatting sqref="D4:D30">
    <cfRule type="expression" dxfId="0" priority="1">
      <formula>OR(D4="OK",D4="PASS",D4="Đạt")</formula>
    </cfRule>
  </conditionalFormatting>
  <conditionalFormatting sqref="D4:D30">
    <cfRule type="expression" dxfId="1" priority="2">
      <formula>OR(D4="LỖI",D4="FAIL",D4="Cần kiểm tra")</formula>
    </cfRule>
  </conditionalFormatting>
  <printOptions/>
  <pageMargins bottom="0.75" footer="0.0" header="0.0" left="0.7" right="0.7" top="0.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70.0"/>
    <col customWidth="1" min="3" max="26" width="8.63"/>
  </cols>
  <sheetData>
    <row r="1" ht="30.0" customHeight="1">
      <c r="A1" s="64" t="s">
        <v>387</v>
      </c>
    </row>
    <row r="2">
      <c r="A2" s="3"/>
      <c r="B2" s="3"/>
    </row>
    <row r="3">
      <c r="A3" s="4" t="s">
        <v>164</v>
      </c>
      <c r="B3" s="4" t="s">
        <v>165</v>
      </c>
      <c r="C3" s="6"/>
      <c r="D3" s="6"/>
      <c r="E3" s="6"/>
      <c r="F3" s="6"/>
    </row>
    <row r="4">
      <c r="A4" s="14" t="s">
        <v>168</v>
      </c>
      <c r="B4" s="14" t="s">
        <v>389</v>
      </c>
      <c r="C4" s="65"/>
      <c r="D4" s="65"/>
      <c r="E4" s="65"/>
      <c r="F4" s="65"/>
    </row>
    <row r="5">
      <c r="A5" s="14" t="s">
        <v>170</v>
      </c>
      <c r="B5" s="14" t="s">
        <v>390</v>
      </c>
      <c r="C5" s="65"/>
      <c r="D5" s="65"/>
      <c r="E5" s="65"/>
      <c r="F5" s="65"/>
    </row>
    <row r="6">
      <c r="A6" s="14" t="s">
        <v>172</v>
      </c>
      <c r="B6" s="14" t="s">
        <v>391</v>
      </c>
      <c r="C6" s="65"/>
      <c r="D6" s="65"/>
      <c r="E6" s="65"/>
      <c r="F6" s="65"/>
    </row>
    <row r="7">
      <c r="A7" s="14" t="s">
        <v>174</v>
      </c>
      <c r="B7" s="14" t="s">
        <v>394</v>
      </c>
      <c r="C7" s="65"/>
      <c r="D7" s="65"/>
      <c r="E7" s="65"/>
      <c r="F7" s="65"/>
    </row>
    <row r="8">
      <c r="A8" s="14" t="s">
        <v>177</v>
      </c>
      <c r="B8" s="14" t="s">
        <v>396</v>
      </c>
      <c r="C8" s="65"/>
      <c r="D8" s="65"/>
      <c r="E8" s="65"/>
      <c r="F8" s="6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24.0"/>
    <col customWidth="1" min="3" max="4" width="16.0"/>
    <col customWidth="1" min="5" max="5" width="14.0"/>
    <col customWidth="1" min="6" max="6" width="35.0"/>
    <col customWidth="1" min="7" max="26" width="8.63"/>
  </cols>
  <sheetData>
    <row r="1" ht="30.0" customHeight="1">
      <c r="A1" s="64" t="s">
        <v>388</v>
      </c>
    </row>
    <row r="2">
      <c r="A2" s="3"/>
      <c r="B2" s="3"/>
      <c r="C2" s="3"/>
      <c r="D2" s="3"/>
      <c r="E2" s="3"/>
      <c r="F2" s="3"/>
    </row>
    <row r="3" ht="27.75" customHeight="1">
      <c r="A3" s="5" t="s">
        <v>77</v>
      </c>
      <c r="B3" s="5" t="s">
        <v>16</v>
      </c>
      <c r="C3" s="5" t="s">
        <v>392</v>
      </c>
      <c r="D3" s="5" t="s">
        <v>393</v>
      </c>
      <c r="E3" s="5" t="s">
        <v>33</v>
      </c>
      <c r="F3" s="5" t="s">
        <v>15</v>
      </c>
    </row>
    <row r="4">
      <c r="A4" s="15" t="s">
        <v>395</v>
      </c>
      <c r="B4" s="15" t="s">
        <v>46</v>
      </c>
      <c r="C4" s="80"/>
      <c r="D4" s="15" t="s">
        <v>43</v>
      </c>
      <c r="E4" s="15" t="s">
        <v>397</v>
      </c>
      <c r="F4" s="81" t="s">
        <v>398</v>
      </c>
    </row>
    <row r="5">
      <c r="A5" s="15" t="s">
        <v>399</v>
      </c>
      <c r="B5" s="15" t="s">
        <v>400</v>
      </c>
      <c r="C5" s="80"/>
      <c r="D5" s="15" t="s">
        <v>43</v>
      </c>
      <c r="E5" s="15" t="s">
        <v>397</v>
      </c>
      <c r="F5" s="15"/>
    </row>
    <row r="6">
      <c r="A6" s="15" t="s">
        <v>401</v>
      </c>
      <c r="B6" s="15" t="s">
        <v>69</v>
      </c>
      <c r="C6" s="80" t="s">
        <v>402</v>
      </c>
      <c r="D6" s="81" t="s">
        <v>43</v>
      </c>
      <c r="E6" s="81" t="s">
        <v>397</v>
      </c>
      <c r="F6" s="81" t="s">
        <v>403</v>
      </c>
    </row>
    <row r="7">
      <c r="A7" s="15" t="s">
        <v>404</v>
      </c>
      <c r="B7" s="15" t="s">
        <v>89</v>
      </c>
      <c r="C7" s="80"/>
      <c r="D7" s="81" t="s">
        <v>43</v>
      </c>
      <c r="E7" s="81" t="s">
        <v>397</v>
      </c>
      <c r="F7" s="81" t="s">
        <v>405</v>
      </c>
    </row>
    <row r="8">
      <c r="A8" s="81" t="s">
        <v>406</v>
      </c>
      <c r="B8" s="81" t="s">
        <v>59</v>
      </c>
      <c r="C8" s="80"/>
      <c r="D8" s="81" t="s">
        <v>43</v>
      </c>
      <c r="E8" s="81" t="s">
        <v>397</v>
      </c>
      <c r="F8" s="81" t="s">
        <v>407</v>
      </c>
    </row>
    <row r="9">
      <c r="A9" s="15"/>
      <c r="B9" s="15"/>
      <c r="C9" s="80"/>
      <c r="D9" s="15"/>
      <c r="E9" s="15" t="s">
        <v>397</v>
      </c>
      <c r="F9" s="15"/>
    </row>
    <row r="10">
      <c r="A10" s="15"/>
      <c r="B10" s="15"/>
      <c r="C10" s="80"/>
      <c r="D10" s="15"/>
      <c r="E10" s="15" t="s">
        <v>397</v>
      </c>
      <c r="F10" s="15"/>
    </row>
    <row r="11">
      <c r="A11" s="15"/>
      <c r="B11" s="15"/>
      <c r="C11" s="80"/>
      <c r="D11" s="15"/>
      <c r="E11" s="15" t="s">
        <v>397</v>
      </c>
      <c r="F11" s="15"/>
    </row>
    <row r="12">
      <c r="A12" s="15"/>
      <c r="B12" s="15"/>
      <c r="C12" s="80"/>
      <c r="D12" s="15"/>
      <c r="E12" s="15" t="s">
        <v>397</v>
      </c>
      <c r="F12" s="15"/>
    </row>
    <row r="13">
      <c r="A13" s="15"/>
      <c r="B13" s="15"/>
      <c r="C13" s="80"/>
      <c r="D13" s="15"/>
      <c r="E13" s="15" t="s">
        <v>397</v>
      </c>
      <c r="F13" s="15"/>
    </row>
    <row r="14">
      <c r="A14" s="15"/>
      <c r="B14" s="15"/>
      <c r="C14" s="80"/>
      <c r="D14" s="15"/>
      <c r="E14" s="15" t="s">
        <v>397</v>
      </c>
      <c r="F14" s="15"/>
    </row>
    <row r="15">
      <c r="A15" s="15"/>
      <c r="B15" s="15"/>
      <c r="C15" s="80"/>
      <c r="D15" s="15"/>
      <c r="E15" s="15" t="s">
        <v>397</v>
      </c>
      <c r="F15" s="15"/>
    </row>
    <row r="16">
      <c r="A16" s="15"/>
      <c r="B16" s="15"/>
      <c r="C16" s="80"/>
      <c r="D16" s="15"/>
      <c r="E16" s="15" t="s">
        <v>397</v>
      </c>
      <c r="F16" s="15"/>
    </row>
    <row r="17">
      <c r="A17" s="15"/>
      <c r="B17" s="15"/>
      <c r="C17" s="80"/>
      <c r="D17" s="15"/>
      <c r="E17" s="15" t="s">
        <v>397</v>
      </c>
      <c r="F17" s="15"/>
    </row>
    <row r="18">
      <c r="A18" s="15"/>
      <c r="B18" s="15"/>
      <c r="C18" s="80"/>
      <c r="D18" s="15"/>
      <c r="E18" s="15" t="s">
        <v>397</v>
      </c>
      <c r="F18" s="15"/>
    </row>
    <row r="19">
      <c r="A19" s="15"/>
      <c r="B19" s="15"/>
      <c r="C19" s="80"/>
      <c r="D19" s="15"/>
      <c r="E19" s="15" t="s">
        <v>397</v>
      </c>
      <c r="F19" s="15"/>
    </row>
    <row r="20">
      <c r="A20" s="15"/>
      <c r="B20" s="15"/>
      <c r="C20" s="80"/>
      <c r="D20" s="15"/>
      <c r="E20" s="15" t="s">
        <v>397</v>
      </c>
      <c r="F20" s="15"/>
    </row>
    <row r="21" ht="15.75" customHeight="1">
      <c r="A21" s="15"/>
      <c r="B21" s="15"/>
      <c r="C21" s="80"/>
      <c r="D21" s="15"/>
      <c r="E21" s="15" t="s">
        <v>397</v>
      </c>
      <c r="F21" s="15"/>
    </row>
    <row r="22" ht="15.75" customHeight="1">
      <c r="A22" s="15"/>
      <c r="B22" s="15"/>
      <c r="C22" s="80"/>
      <c r="D22" s="15"/>
      <c r="E22" s="15" t="s">
        <v>397</v>
      </c>
      <c r="F22" s="15"/>
    </row>
    <row r="23" ht="15.75" customHeight="1">
      <c r="A23" s="15"/>
      <c r="B23" s="15"/>
      <c r="C23" s="80"/>
      <c r="D23" s="15"/>
      <c r="E23" s="15" t="s">
        <v>397</v>
      </c>
      <c r="F23" s="15"/>
    </row>
    <row r="24" ht="15.75" customHeight="1">
      <c r="A24" s="15"/>
      <c r="B24" s="15"/>
      <c r="C24" s="80"/>
      <c r="D24" s="15"/>
      <c r="E24" s="15" t="s">
        <v>397</v>
      </c>
      <c r="F24" s="15"/>
    </row>
    <row r="25" ht="15.75" customHeight="1">
      <c r="A25" s="15"/>
      <c r="B25" s="15"/>
      <c r="C25" s="80"/>
      <c r="D25" s="15"/>
      <c r="E25" s="15" t="s">
        <v>397</v>
      </c>
      <c r="F25" s="15"/>
    </row>
    <row r="26" ht="15.75" customHeight="1">
      <c r="A26" s="15"/>
      <c r="B26" s="15"/>
      <c r="C26" s="80"/>
      <c r="D26" s="15"/>
      <c r="E26" s="15" t="s">
        <v>397</v>
      </c>
      <c r="F26" s="15"/>
    </row>
    <row r="27" ht="15.75" customHeight="1">
      <c r="A27" s="15"/>
      <c r="B27" s="15"/>
      <c r="C27" s="80"/>
      <c r="D27" s="15"/>
      <c r="E27" s="15" t="s">
        <v>397</v>
      </c>
      <c r="F27" s="15"/>
    </row>
    <row r="28" ht="15.75" customHeight="1">
      <c r="A28" s="15"/>
      <c r="B28" s="15"/>
      <c r="C28" s="80"/>
      <c r="D28" s="15"/>
      <c r="E28" s="15" t="s">
        <v>397</v>
      </c>
      <c r="F28" s="15"/>
    </row>
    <row r="29" ht="15.75" customHeight="1">
      <c r="A29" s="15"/>
      <c r="B29" s="15"/>
      <c r="C29" s="80"/>
      <c r="D29" s="15"/>
      <c r="E29" s="15" t="s">
        <v>397</v>
      </c>
      <c r="F29" s="15"/>
    </row>
    <row r="30" ht="15.75" customHeight="1">
      <c r="A30" s="15"/>
      <c r="B30" s="15"/>
      <c r="C30" s="80"/>
      <c r="D30" s="15"/>
      <c r="E30" s="15" t="s">
        <v>397</v>
      </c>
      <c r="F30" s="15"/>
    </row>
    <row r="31" ht="15.75" customHeight="1">
      <c r="A31" s="15"/>
      <c r="B31" s="15"/>
      <c r="C31" s="80"/>
      <c r="D31" s="15"/>
      <c r="E31" s="15" t="s">
        <v>397</v>
      </c>
      <c r="F31" s="15"/>
    </row>
    <row r="32" ht="15.75" customHeight="1">
      <c r="A32" s="15"/>
      <c r="B32" s="15"/>
      <c r="C32" s="80"/>
      <c r="D32" s="15"/>
      <c r="E32" s="15" t="s">
        <v>397</v>
      </c>
      <c r="F32" s="15"/>
    </row>
    <row r="33" ht="15.75" customHeight="1">
      <c r="A33" s="15"/>
      <c r="B33" s="15"/>
      <c r="C33" s="80"/>
      <c r="D33" s="15"/>
      <c r="E33" s="15" t="s">
        <v>397</v>
      </c>
      <c r="F33" s="15"/>
    </row>
    <row r="34" ht="15.75" customHeight="1">
      <c r="A34" s="15"/>
      <c r="B34" s="15"/>
      <c r="C34" s="80"/>
      <c r="D34" s="15"/>
      <c r="E34" s="15" t="s">
        <v>397</v>
      </c>
      <c r="F34" s="15"/>
    </row>
    <row r="35" ht="15.75" customHeight="1">
      <c r="A35" s="15"/>
      <c r="B35" s="15"/>
      <c r="C35" s="80"/>
      <c r="D35" s="15"/>
      <c r="E35" s="15" t="s">
        <v>397</v>
      </c>
      <c r="F35" s="15"/>
    </row>
    <row r="36" ht="15.75" customHeight="1">
      <c r="A36" s="15"/>
      <c r="B36" s="15"/>
      <c r="C36" s="80"/>
      <c r="D36" s="15"/>
      <c r="E36" s="15" t="s">
        <v>397</v>
      </c>
      <c r="F36" s="15"/>
    </row>
    <row r="37" ht="15.75" customHeight="1">
      <c r="A37" s="15"/>
      <c r="B37" s="15"/>
      <c r="C37" s="80"/>
      <c r="D37" s="15"/>
      <c r="E37" s="15" t="s">
        <v>397</v>
      </c>
      <c r="F37" s="15"/>
    </row>
    <row r="38" ht="15.75" customHeight="1">
      <c r="A38" s="15"/>
      <c r="B38" s="15"/>
      <c r="C38" s="80"/>
      <c r="D38" s="15"/>
      <c r="E38" s="15" t="s">
        <v>397</v>
      </c>
      <c r="F38" s="15"/>
    </row>
    <row r="39" ht="15.75" customHeight="1">
      <c r="A39" s="15"/>
      <c r="B39" s="15"/>
      <c r="C39" s="80"/>
      <c r="D39" s="15"/>
      <c r="E39" s="15" t="s">
        <v>397</v>
      </c>
      <c r="F39" s="15"/>
    </row>
    <row r="40" ht="15.75" customHeight="1">
      <c r="A40" s="15"/>
      <c r="B40" s="15"/>
      <c r="C40" s="80"/>
      <c r="D40" s="15"/>
      <c r="E40" s="15" t="s">
        <v>397</v>
      </c>
      <c r="F40" s="15"/>
    </row>
    <row r="41" ht="15.75" customHeight="1">
      <c r="A41" s="15"/>
      <c r="B41" s="15"/>
      <c r="C41" s="80"/>
      <c r="D41" s="15"/>
      <c r="E41" s="15" t="s">
        <v>397</v>
      </c>
      <c r="F41" s="15"/>
    </row>
    <row r="42" ht="15.75" customHeight="1">
      <c r="A42" s="15"/>
      <c r="B42" s="15"/>
      <c r="C42" s="80"/>
      <c r="D42" s="15"/>
      <c r="E42" s="15" t="s">
        <v>397</v>
      </c>
      <c r="F42" s="15"/>
    </row>
    <row r="43" ht="15.75" customHeight="1">
      <c r="A43" s="15"/>
      <c r="B43" s="15"/>
      <c r="C43" s="80"/>
      <c r="D43" s="15"/>
      <c r="E43" s="15" t="s">
        <v>397</v>
      </c>
      <c r="F43" s="15"/>
    </row>
    <row r="44" ht="15.75" customHeight="1">
      <c r="A44" s="15"/>
      <c r="B44" s="15"/>
      <c r="C44" s="80"/>
      <c r="D44" s="15"/>
      <c r="E44" s="15" t="s">
        <v>397</v>
      </c>
      <c r="F44" s="15"/>
    </row>
    <row r="45" ht="15.75" customHeight="1">
      <c r="A45" s="15"/>
      <c r="B45" s="15"/>
      <c r="C45" s="80"/>
      <c r="D45" s="15"/>
      <c r="E45" s="15" t="s">
        <v>397</v>
      </c>
      <c r="F45" s="15"/>
    </row>
    <row r="46" ht="15.75" customHeight="1">
      <c r="A46" s="15"/>
      <c r="B46" s="15"/>
      <c r="C46" s="80"/>
      <c r="D46" s="15"/>
      <c r="E46" s="15" t="s">
        <v>397</v>
      </c>
      <c r="F46" s="15"/>
    </row>
    <row r="47" ht="15.75" customHeight="1">
      <c r="A47" s="15"/>
      <c r="B47" s="15"/>
      <c r="C47" s="80"/>
      <c r="D47" s="15"/>
      <c r="E47" s="15" t="s">
        <v>397</v>
      </c>
      <c r="F47" s="15"/>
    </row>
    <row r="48" ht="15.75" customHeight="1">
      <c r="A48" s="15"/>
      <c r="B48" s="15"/>
      <c r="C48" s="80"/>
      <c r="D48" s="15"/>
      <c r="E48" s="15" t="s">
        <v>397</v>
      </c>
      <c r="F48" s="15"/>
    </row>
    <row r="49" ht="15.75" customHeight="1">
      <c r="A49" s="15"/>
      <c r="B49" s="15"/>
      <c r="C49" s="80"/>
      <c r="D49" s="15"/>
      <c r="E49" s="15" t="s">
        <v>397</v>
      </c>
      <c r="F49" s="15"/>
    </row>
    <row r="50" ht="15.75" customHeight="1">
      <c r="A50" s="15"/>
      <c r="B50" s="15"/>
      <c r="C50" s="80"/>
      <c r="D50" s="15"/>
      <c r="E50" s="15" t="s">
        <v>397</v>
      </c>
      <c r="F50" s="15"/>
    </row>
    <row r="51" ht="15.75" customHeight="1">
      <c r="A51" s="15"/>
      <c r="B51" s="15"/>
      <c r="C51" s="80"/>
      <c r="D51" s="15"/>
      <c r="E51" s="15" t="s">
        <v>397</v>
      </c>
      <c r="F51" s="15"/>
    </row>
    <row r="52" ht="15.75" customHeight="1">
      <c r="A52" s="15"/>
      <c r="B52" s="15"/>
      <c r="C52" s="80"/>
      <c r="D52" s="15"/>
      <c r="E52" s="15" t="s">
        <v>397</v>
      </c>
      <c r="F52" s="15"/>
    </row>
    <row r="53" ht="15.75" customHeight="1">
      <c r="A53" s="15"/>
      <c r="B53" s="15"/>
      <c r="C53" s="80"/>
      <c r="D53" s="15"/>
      <c r="E53" s="15" t="s">
        <v>397</v>
      </c>
      <c r="F53" s="15"/>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conditionalFormatting sqref="E4:E53">
    <cfRule type="expression" dxfId="0" priority="1">
      <formula>E4="Đang dạy"</formula>
    </cfRule>
  </conditionalFormatting>
  <conditionalFormatting sqref="E4:E53">
    <cfRule type="expression" dxfId="2" priority="2">
      <formula>E4="Tạm nghỉ"</formula>
    </cfRule>
  </conditionalFormatting>
  <dataValidations>
    <dataValidation type="list" allowBlank="1" sqref="E4:E53">
      <formula1>"Đang dạy,Tạm nghỉ"</formula1>
    </dataValidation>
  </dataValidations>
  <printOptions/>
  <pageMargins bottom="0.75" footer="0.0" header="0.0" left="0.7" right="0.7" top="0.75"/>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0"/>
    <col customWidth="1" min="3" max="3" width="24.0"/>
    <col customWidth="1" min="4" max="4" width="11.0"/>
    <col customWidth="1" min="5" max="5" width="25.0"/>
    <col customWidth="1" min="6" max="6" width="13.0"/>
    <col customWidth="1" min="7" max="7" width="42.0"/>
    <col customWidth="1" min="8" max="26" width="8.63"/>
  </cols>
  <sheetData>
    <row r="1" ht="30.0" customHeight="1">
      <c r="A1" s="64" t="s">
        <v>408</v>
      </c>
    </row>
    <row r="2">
      <c r="A2" s="3"/>
      <c r="B2" s="3"/>
      <c r="C2" s="3"/>
      <c r="D2" s="3"/>
      <c r="E2" s="3"/>
      <c r="F2" s="3"/>
      <c r="G2" s="3"/>
    </row>
    <row r="3" ht="27.75" customHeight="1">
      <c r="A3" s="5" t="s">
        <v>76</v>
      </c>
      <c r="B3" s="5" t="s">
        <v>77</v>
      </c>
      <c r="C3" s="5" t="s">
        <v>16</v>
      </c>
      <c r="D3" s="5" t="s">
        <v>10</v>
      </c>
      <c r="E3" s="5" t="s">
        <v>19</v>
      </c>
      <c r="F3" s="5" t="s">
        <v>409</v>
      </c>
      <c r="G3" s="5" t="s">
        <v>15</v>
      </c>
      <c r="H3" s="13" t="s">
        <v>38</v>
      </c>
    </row>
    <row r="4">
      <c r="A4" s="82">
        <f>IF(B4="","",IFERROR(DIEU_KHIEN!$B$4,"LỖI LIÊN KẾT"))</f>
        <v>46235</v>
      </c>
      <c r="B4" s="83" t="s">
        <v>395</v>
      </c>
      <c r="C4" s="53" t="str">
        <f>IF(B4="","",IFERROR(VLOOKUP(B4,GIANG_VIEN!$A$4:$B$53,2,FALSE),""))</f>
        <v>Nguyễn Mạnh Cường</v>
      </c>
      <c r="D4" s="53" t="s">
        <v>40</v>
      </c>
      <c r="E4" s="53" t="str">
        <f>IF(D4="","",IFERROR(VLOOKUP(D4,DANH_MUC_LOP!$B$4:$C$15,2,FALSE),"LỖI LIÊN KẾT"))</f>
        <v>Lớp 6 Thầy Cường</v>
      </c>
      <c r="F4" s="84">
        <v>7.0</v>
      </c>
      <c r="G4" s="15" t="s">
        <v>410</v>
      </c>
      <c r="H4" s="81" t="s">
        <v>59</v>
      </c>
    </row>
    <row r="5">
      <c r="A5" s="82">
        <f>IF(B5="","",IFERROR(DIEU_KHIEN!$B$4,"LỖI LIÊN KẾT"))</f>
        <v>46235</v>
      </c>
      <c r="B5" s="53" t="s">
        <v>395</v>
      </c>
      <c r="C5" s="53" t="str">
        <f>IF(B5="","",IFERROR(VLOOKUP(B5,GIANG_VIEN!$A$4:$B$53,2,FALSE),""))</f>
        <v>Nguyễn Mạnh Cường</v>
      </c>
      <c r="D5" s="53" t="s">
        <v>60</v>
      </c>
      <c r="E5" s="53" t="str">
        <f>IF(D5="","",IFERROR(VLOOKUP(D5,DANH_MUC_LOP!$B$4:$C$15,2,FALSE),"LỖI LIÊN KẾT"))</f>
        <v>Toán 7 Thầy Cường</v>
      </c>
      <c r="F5" s="84">
        <v>7.0</v>
      </c>
      <c r="G5" s="15" t="s">
        <v>411</v>
      </c>
      <c r="H5" s="81" t="s">
        <v>69</v>
      </c>
    </row>
    <row r="6">
      <c r="A6" s="82">
        <f>IF(B6="","",IFERROR(DIEU_KHIEN!$B$4,"LỖI LIÊN KẾT"))</f>
        <v>46235</v>
      </c>
      <c r="B6" s="53" t="s">
        <v>395</v>
      </c>
      <c r="C6" s="53" t="str">
        <f>IF(B6="","",IFERROR(VLOOKUP(B6,GIANG_VIEN!$A$4:$B$53,2,FALSE),""))</f>
        <v>Nguyễn Mạnh Cường</v>
      </c>
      <c r="D6" s="53" t="s">
        <v>70</v>
      </c>
      <c r="E6" s="53" t="str">
        <f>IF(D6="","",IFERROR(VLOOKUP(D6,DANH_MUC_LOP!$B$4:$C$15,2,FALSE),"LỖI LIÊN KẾT"))</f>
        <v>Toán 8 Thầy Cường</v>
      </c>
      <c r="F6" s="84">
        <v>7.0</v>
      </c>
      <c r="G6" s="15" t="s">
        <v>72</v>
      </c>
      <c r="H6" s="81" t="s">
        <v>89</v>
      </c>
    </row>
    <row r="7">
      <c r="A7" s="82">
        <f>IF(B7="","",IFERROR(DIEU_KHIEN!$B$4,"LỖI LIÊN KẾT"))</f>
        <v>46235</v>
      </c>
      <c r="B7" s="53" t="s">
        <v>395</v>
      </c>
      <c r="C7" s="53" t="str">
        <f>IF(B7="","",IFERROR(VLOOKUP(B7,GIANG_VIEN!$A$4:$B$53,2,FALSE),""))</f>
        <v>Nguyễn Mạnh Cường</v>
      </c>
      <c r="D7" s="53" t="s">
        <v>66</v>
      </c>
      <c r="E7" s="53" t="str">
        <f>IF(D7="","",IFERROR(VLOOKUP(D7,DANH_MUC_LOP!$B$4:$C$15,2,FALSE),"LỖI LIÊN KẾT"))</f>
        <v>Toán 9 Thầy Cường</v>
      </c>
      <c r="F7" s="84">
        <v>7.0</v>
      </c>
      <c r="G7" s="15" t="s">
        <v>411</v>
      </c>
      <c r="H7" s="81" t="s">
        <v>89</v>
      </c>
    </row>
    <row r="8">
      <c r="A8" s="82" t="str">
        <f>IF(B8="","",IFERROR(DIEU_KHIEN!$B$4,"LỖI LIÊN KẾT"))</f>
        <v/>
      </c>
      <c r="B8" s="53"/>
      <c r="C8" s="53" t="str">
        <f>IF(B8="","",IFERROR(VLOOKUP(B8,GIANG_VIEN!$A$4:$B$53,2,FALSE),""))</f>
        <v/>
      </c>
      <c r="D8" s="53"/>
      <c r="E8" s="53" t="str">
        <f>IF(D8="","",IFERROR(VLOOKUP(D8,DANH_MUC_LOP!$B$4:$C$15,2,FALSE),"LỖI LIÊN KẾT"))</f>
        <v/>
      </c>
      <c r="F8" s="85"/>
      <c r="G8" s="15"/>
    </row>
    <row r="9">
      <c r="A9" s="82" t="str">
        <f>IF(B9="","",IFERROR(DIEU_KHIEN!$B$4,"LỖI LIÊN KẾT"))</f>
        <v/>
      </c>
      <c r="B9" s="53"/>
      <c r="C9" s="53" t="str">
        <f>IF(B9="","",IFERROR(VLOOKUP(B9,GIANG_VIEN!$A$4:$B$53,2,FALSE),""))</f>
        <v/>
      </c>
      <c r="D9" s="53"/>
      <c r="E9" s="53" t="str">
        <f>IF(D9="","",IFERROR(VLOOKUP(D9,DANH_MUC_LOP!$B$4:$C$15,2,FALSE),"LỖI LIÊN KẾT"))</f>
        <v/>
      </c>
      <c r="F9" s="85"/>
      <c r="G9" s="15"/>
    </row>
    <row r="10">
      <c r="A10" s="82" t="str">
        <f>IF(B10="","",IFERROR(DIEU_KHIEN!$B$4,"LỖI LIÊN KẾT"))</f>
        <v/>
      </c>
      <c r="B10" s="53"/>
      <c r="C10" s="53" t="str">
        <f>IF(B10="","",IFERROR(VLOOKUP(B10,GIANG_VIEN!$A$4:$B$53,2,FALSE),""))</f>
        <v/>
      </c>
      <c r="D10" s="53"/>
      <c r="E10" s="53" t="str">
        <f>IF(D10="","",IFERROR(VLOOKUP(D10,DANH_MUC_LOP!$B$4:$C$15,2,FALSE),"LỖI LIÊN KẾT"))</f>
        <v/>
      </c>
      <c r="F10" s="85"/>
      <c r="G10" s="15"/>
    </row>
    <row r="11">
      <c r="A11" s="82" t="str">
        <f>IF(B11="","",IFERROR(DIEU_KHIEN!$B$4,"LỖI LIÊN KẾT"))</f>
        <v/>
      </c>
      <c r="B11" s="53"/>
      <c r="C11" s="53" t="str">
        <f>IF(B11="","",IFERROR(VLOOKUP(B11,GIANG_VIEN!$A$4:$B$53,2,FALSE),""))</f>
        <v/>
      </c>
      <c r="D11" s="53"/>
      <c r="E11" s="53" t="str">
        <f>IF(D11="","",IFERROR(VLOOKUP(D11,DANH_MUC_LOP!$B$4:$C$15,2,FALSE),"LỖI LIÊN KẾT"))</f>
        <v/>
      </c>
      <c r="F11" s="85"/>
      <c r="G11" s="15"/>
    </row>
    <row r="12">
      <c r="A12" s="82" t="str">
        <f>IF(B12="","",IFERROR(DIEU_KHIEN!$B$4,"LỖI LIÊN KẾT"))</f>
        <v/>
      </c>
      <c r="B12" s="53"/>
      <c r="C12" s="53" t="str">
        <f>IF(B12="","",IFERROR(VLOOKUP(B12,GIANG_VIEN!$A$4:$B$53,2,FALSE),""))</f>
        <v/>
      </c>
      <c r="D12" s="53"/>
      <c r="E12" s="53" t="str">
        <f>IF(D12="","",IFERROR(VLOOKUP(D12,DANH_MUC_LOP!$B$4:$C$15,2,FALSE),"LỖI LIÊN KẾT"))</f>
        <v/>
      </c>
      <c r="F12" s="85"/>
      <c r="G12" s="15"/>
    </row>
    <row r="13">
      <c r="A13" s="82" t="str">
        <f>IF(B13="","",IFERROR(DIEU_KHIEN!$B$4,"LỖI LIÊN KẾT"))</f>
        <v/>
      </c>
      <c r="B13" s="53"/>
      <c r="C13" s="53" t="str">
        <f>IF(B13="","",IFERROR(VLOOKUP(B13,GIANG_VIEN!$A$4:$B$53,2,FALSE),""))</f>
        <v/>
      </c>
      <c r="D13" s="53"/>
      <c r="E13" s="53" t="str">
        <f>IF(D13="","",IFERROR(VLOOKUP(D13,DANH_MUC_LOP!$B$4:$C$15,2,FALSE),"LỖI LIÊN KẾT"))</f>
        <v/>
      </c>
      <c r="F13" s="85"/>
      <c r="G13" s="15"/>
    </row>
    <row r="14">
      <c r="A14" s="82" t="str">
        <f>IF(B14="","",IFERROR(DIEU_KHIEN!$B$4,"LỖI LIÊN KẾT"))</f>
        <v/>
      </c>
      <c r="B14" s="53"/>
      <c r="C14" s="53" t="str">
        <f>IF(B14="","",IFERROR(VLOOKUP(B14,GIANG_VIEN!$A$4:$B$53,2,FALSE),""))</f>
        <v/>
      </c>
      <c r="D14" s="53"/>
      <c r="E14" s="53" t="str">
        <f>IF(D14="","",IFERROR(VLOOKUP(D14,DANH_MUC_LOP!$B$4:$C$15,2,FALSE),"LỖI LIÊN KẾT"))</f>
        <v/>
      </c>
      <c r="F14" s="85"/>
      <c r="G14" s="15"/>
    </row>
    <row r="15">
      <c r="A15" s="82" t="str">
        <f>IF(B15="","",IFERROR(DIEU_KHIEN!$B$4,"LỖI LIÊN KẾT"))</f>
        <v/>
      </c>
      <c r="B15" s="53"/>
      <c r="C15" s="53" t="str">
        <f>IF(B15="","",IFERROR(VLOOKUP(B15,GIANG_VIEN!$A$4:$B$53,2,FALSE),""))</f>
        <v/>
      </c>
      <c r="D15" s="53"/>
      <c r="E15" s="53" t="str">
        <f>IF(D15="","",IFERROR(VLOOKUP(D15,DANH_MUC_LOP!$B$4:$C$15,2,FALSE),"LỖI LIÊN KẾT"))</f>
        <v/>
      </c>
      <c r="F15" s="85"/>
      <c r="G15" s="15"/>
    </row>
    <row r="16">
      <c r="A16" s="82" t="str">
        <f>IF(B16="","",IFERROR(DIEU_KHIEN!$B$4,"LỖI LIÊN KẾT"))</f>
        <v/>
      </c>
      <c r="B16" s="53"/>
      <c r="C16" s="53" t="str">
        <f>IF(B16="","",IFERROR(VLOOKUP(B16,GIANG_VIEN!$A$4:$B$53,2,FALSE),""))</f>
        <v/>
      </c>
      <c r="D16" s="53"/>
      <c r="E16" s="53" t="str">
        <f>IF(D16="","",IFERROR(VLOOKUP(D16,DANH_MUC_LOP!$B$4:$C$15,2,FALSE),"LỖI LIÊN KẾT"))</f>
        <v/>
      </c>
      <c r="F16" s="85"/>
      <c r="G16" s="15"/>
    </row>
    <row r="17">
      <c r="A17" s="82" t="str">
        <f>IF(B17="","",IFERROR(DIEU_KHIEN!$B$4,"LỖI LIÊN KẾT"))</f>
        <v/>
      </c>
      <c r="B17" s="53"/>
      <c r="C17" s="53" t="str">
        <f>IF(B17="","",IFERROR(VLOOKUP(B17,GIANG_VIEN!$A$4:$B$53,2,FALSE),""))</f>
        <v/>
      </c>
      <c r="D17" s="53"/>
      <c r="E17" s="53" t="str">
        <f>IF(D17="","",IFERROR(VLOOKUP(D17,DANH_MUC_LOP!$B$4:$C$15,2,FALSE),"LỖI LIÊN KẾT"))</f>
        <v/>
      </c>
      <c r="F17" s="85"/>
      <c r="G17" s="15"/>
    </row>
    <row r="18">
      <c r="A18" s="82" t="str">
        <f>IF(B18="","",IFERROR(DIEU_KHIEN!$B$4,"LỖI LIÊN KẾT"))</f>
        <v/>
      </c>
      <c r="B18" s="53"/>
      <c r="C18" s="53" t="str">
        <f>IF(B18="","",IFERROR(VLOOKUP(B18,GIANG_VIEN!$A$4:$B$53,2,FALSE),""))</f>
        <v/>
      </c>
      <c r="D18" s="53"/>
      <c r="E18" s="53" t="str">
        <f>IF(D18="","",IFERROR(VLOOKUP(D18,DANH_MUC_LOP!$B$4:$C$15,2,FALSE),"LỖI LIÊN KẾT"))</f>
        <v/>
      </c>
      <c r="F18" s="85"/>
      <c r="G18" s="15"/>
    </row>
    <row r="19">
      <c r="A19" s="82" t="str">
        <f>IF(B19="","",IFERROR(DIEU_KHIEN!$B$4,"LỖI LIÊN KẾT"))</f>
        <v/>
      </c>
      <c r="B19" s="53"/>
      <c r="C19" s="53" t="str">
        <f>IF(B19="","",IFERROR(VLOOKUP(B19,GIANG_VIEN!$A$4:$B$53,2,FALSE),""))</f>
        <v/>
      </c>
      <c r="D19" s="53"/>
      <c r="E19" s="53" t="str">
        <f>IF(D19="","",IFERROR(VLOOKUP(D19,DANH_MUC_LOP!$B$4:$C$15,2,FALSE),"LỖI LIÊN KẾT"))</f>
        <v/>
      </c>
      <c r="F19" s="85"/>
      <c r="G19" s="15"/>
    </row>
    <row r="20">
      <c r="A20" s="82" t="str">
        <f>IF(B20="","",IFERROR(DIEU_KHIEN!$B$4,"LỖI LIÊN KẾT"))</f>
        <v/>
      </c>
      <c r="B20" s="53"/>
      <c r="C20" s="53" t="str">
        <f>IF(B20="","",IFERROR(VLOOKUP(B20,GIANG_VIEN!$A$4:$B$53,2,FALSE),""))</f>
        <v/>
      </c>
      <c r="D20" s="53"/>
      <c r="E20" s="53" t="str">
        <f>IF(D20="","",IFERROR(VLOOKUP(D20,DANH_MUC_LOP!$B$4:$C$15,2,FALSE),"LỖI LIÊN KẾT"))</f>
        <v/>
      </c>
      <c r="F20" s="85"/>
      <c r="G20" s="15"/>
    </row>
    <row r="21" ht="15.75" customHeight="1">
      <c r="A21" s="82" t="str">
        <f>IF(B21="","",IFERROR(DIEU_KHIEN!$B$4,"LỖI LIÊN KẾT"))</f>
        <v/>
      </c>
      <c r="B21" s="53"/>
      <c r="C21" s="53" t="str">
        <f>IF(B21="","",IFERROR(VLOOKUP(B21,GIANG_VIEN!$A$4:$B$53,2,FALSE),""))</f>
        <v/>
      </c>
      <c r="D21" s="53"/>
      <c r="E21" s="53" t="str">
        <f>IF(D21="","",IFERROR(VLOOKUP(D21,DANH_MUC_LOP!$B$4:$C$15,2,FALSE),"LỖI LIÊN KẾT"))</f>
        <v/>
      </c>
      <c r="F21" s="85"/>
      <c r="G21" s="15"/>
    </row>
    <row r="22" ht="15.75" customHeight="1">
      <c r="A22" s="82" t="str">
        <f>IF(B22="","",IFERROR(DIEU_KHIEN!$B$4,"LỖI LIÊN KẾT"))</f>
        <v/>
      </c>
      <c r="B22" s="53"/>
      <c r="C22" s="53" t="str">
        <f>IF(B22="","",IFERROR(VLOOKUP(B22,GIANG_VIEN!$A$4:$B$53,2,FALSE),""))</f>
        <v/>
      </c>
      <c r="D22" s="53"/>
      <c r="E22" s="53" t="str">
        <f>IF(D22="","",IFERROR(VLOOKUP(D22,DANH_MUC_LOP!$B$4:$C$15,2,FALSE),"LỖI LIÊN KẾT"))</f>
        <v/>
      </c>
      <c r="F22" s="85"/>
      <c r="G22" s="15"/>
    </row>
    <row r="23" ht="15.75" customHeight="1">
      <c r="A23" s="82" t="str">
        <f>IF(B23="","",IFERROR(DIEU_KHIEN!$B$4,"LỖI LIÊN KẾT"))</f>
        <v/>
      </c>
      <c r="B23" s="53"/>
      <c r="C23" s="53" t="str">
        <f>IF(B23="","",IFERROR(VLOOKUP(B23,GIANG_VIEN!$A$4:$B$53,2,FALSE),""))</f>
        <v/>
      </c>
      <c r="D23" s="53"/>
      <c r="E23" s="53" t="str">
        <f>IF(D23="","",IFERROR(VLOOKUP(D23,DANH_MUC_LOP!$B$4:$C$15,2,FALSE),"LỖI LIÊN KẾT"))</f>
        <v/>
      </c>
      <c r="F23" s="85"/>
      <c r="G23" s="15"/>
    </row>
    <row r="24" ht="15.75" customHeight="1">
      <c r="A24" s="82" t="str">
        <f>IF(B24="","",IFERROR(DIEU_KHIEN!$B$4,"LỖI LIÊN KẾT"))</f>
        <v/>
      </c>
      <c r="B24" s="53"/>
      <c r="C24" s="53" t="str">
        <f>IF(B24="","",IFERROR(VLOOKUP(B24,GIANG_VIEN!$A$4:$B$53,2,FALSE),""))</f>
        <v/>
      </c>
      <c r="D24" s="53"/>
      <c r="E24" s="53" t="str">
        <f>IF(D24="","",IFERROR(VLOOKUP(D24,DANH_MUC_LOP!$B$4:$C$15,2,FALSE),"LỖI LIÊN KẾT"))</f>
        <v/>
      </c>
      <c r="F24" s="85"/>
      <c r="G24" s="15"/>
    </row>
    <row r="25" ht="15.75" customHeight="1">
      <c r="A25" s="82" t="str">
        <f>IF(B25="","",IFERROR(DIEU_KHIEN!$B$4,"LỖI LIÊN KẾT"))</f>
        <v/>
      </c>
      <c r="B25" s="53"/>
      <c r="C25" s="53" t="str">
        <f>IF(B25="","",IFERROR(VLOOKUP(B25,GIANG_VIEN!$A$4:$B$53,2,FALSE),""))</f>
        <v/>
      </c>
      <c r="D25" s="53"/>
      <c r="E25" s="53" t="str">
        <f>IF(D25="","",IFERROR(VLOOKUP(D25,DANH_MUC_LOP!$B$4:$C$15,2,FALSE),"LỖI LIÊN KẾT"))</f>
        <v/>
      </c>
      <c r="F25" s="85"/>
      <c r="G25" s="15"/>
    </row>
    <row r="26" ht="15.75" customHeight="1">
      <c r="A26" s="82" t="str">
        <f>IF(B26="","",IFERROR(DIEU_KHIEN!$B$4,"LỖI LIÊN KẾT"))</f>
        <v/>
      </c>
      <c r="B26" s="53"/>
      <c r="C26" s="53" t="str">
        <f>IF(B26="","",IFERROR(VLOOKUP(B26,GIANG_VIEN!$A$4:$B$53,2,FALSE),""))</f>
        <v/>
      </c>
      <c r="D26" s="53"/>
      <c r="E26" s="53" t="str">
        <f>IF(D26="","",IFERROR(VLOOKUP(D26,DANH_MUC_LOP!$B$4:$C$15,2,FALSE),"LỖI LIÊN KẾT"))</f>
        <v/>
      </c>
      <c r="F26" s="85"/>
      <c r="G26" s="15"/>
    </row>
    <row r="27" ht="15.75" customHeight="1">
      <c r="A27" s="82" t="str">
        <f>IF(B27="","",IFERROR(DIEU_KHIEN!$B$4,"LỖI LIÊN KẾT"))</f>
        <v/>
      </c>
      <c r="B27" s="53"/>
      <c r="C27" s="53" t="str">
        <f>IF(B27="","",IFERROR(VLOOKUP(B27,GIANG_VIEN!$A$4:$B$53,2,FALSE),""))</f>
        <v/>
      </c>
      <c r="D27" s="53"/>
      <c r="E27" s="53" t="str">
        <f>IF(D27="","",IFERROR(VLOOKUP(D27,DANH_MUC_LOP!$B$4:$C$15,2,FALSE),"LỖI LIÊN KẾT"))</f>
        <v/>
      </c>
      <c r="F27" s="85"/>
      <c r="G27" s="15"/>
    </row>
    <row r="28" ht="15.75" customHeight="1">
      <c r="A28" s="82" t="str">
        <f>IF(B28="","",IFERROR(DIEU_KHIEN!$B$4,"LỖI LIÊN KẾT"))</f>
        <v/>
      </c>
      <c r="B28" s="53"/>
      <c r="C28" s="53" t="str">
        <f>IF(B28="","",IFERROR(VLOOKUP(B28,GIANG_VIEN!$A$4:$B$53,2,FALSE),""))</f>
        <v/>
      </c>
      <c r="D28" s="53"/>
      <c r="E28" s="53" t="str">
        <f>IF(D28="","",IFERROR(VLOOKUP(D28,DANH_MUC_LOP!$B$4:$C$15,2,FALSE),"LỖI LIÊN KẾT"))</f>
        <v/>
      </c>
      <c r="F28" s="85"/>
      <c r="G28" s="15"/>
    </row>
    <row r="29" ht="15.75" customHeight="1">
      <c r="A29" s="82" t="str">
        <f>IF(B29="","",IFERROR(DIEU_KHIEN!$B$4,"LỖI LIÊN KẾT"))</f>
        <v/>
      </c>
      <c r="B29" s="53"/>
      <c r="C29" s="53" t="str">
        <f>IF(B29="","",IFERROR(VLOOKUP(B29,GIANG_VIEN!$A$4:$B$53,2,FALSE),""))</f>
        <v/>
      </c>
      <c r="D29" s="53"/>
      <c r="E29" s="53" t="str">
        <f>IF(D29="","",IFERROR(VLOOKUP(D29,DANH_MUC_LOP!$B$4:$C$15,2,FALSE),"LỖI LIÊN KẾT"))</f>
        <v/>
      </c>
      <c r="F29" s="85"/>
      <c r="G29" s="15"/>
    </row>
    <row r="30" ht="15.75" customHeight="1">
      <c r="A30" s="82" t="str">
        <f>IF(B30="","",IFERROR(DIEU_KHIEN!$B$4,"LỖI LIÊN KẾT"))</f>
        <v/>
      </c>
      <c r="B30" s="53"/>
      <c r="C30" s="53" t="str">
        <f>IF(B30="","",IFERROR(VLOOKUP(B30,GIANG_VIEN!$A$4:$B$53,2,FALSE),""))</f>
        <v/>
      </c>
      <c r="D30" s="53"/>
      <c r="E30" s="53" t="str">
        <f>IF(D30="","",IFERROR(VLOOKUP(D30,DANH_MUC_LOP!$B$4:$C$15,2,FALSE),"LỖI LIÊN KẾT"))</f>
        <v/>
      </c>
      <c r="F30" s="85"/>
      <c r="G30" s="15"/>
    </row>
    <row r="31" ht="15.75" customHeight="1">
      <c r="A31" s="82" t="str">
        <f>IF(B31="","",IFERROR(DIEU_KHIEN!$B$4,"LỖI LIÊN KẾT"))</f>
        <v/>
      </c>
      <c r="B31" s="53"/>
      <c r="C31" s="53" t="str">
        <f>IF(B31="","",IFERROR(VLOOKUP(B31,GIANG_VIEN!$A$4:$B$53,2,FALSE),""))</f>
        <v/>
      </c>
      <c r="D31" s="53"/>
      <c r="E31" s="53" t="str">
        <f>IF(D31="","",IFERROR(VLOOKUP(D31,DANH_MUC_LOP!$B$4:$C$15,2,FALSE),"LỖI LIÊN KẾT"))</f>
        <v/>
      </c>
      <c r="F31" s="85"/>
      <c r="G31" s="15"/>
    </row>
    <row r="32" ht="15.75" customHeight="1">
      <c r="A32" s="82" t="str">
        <f>IF(B32="","",IFERROR(DIEU_KHIEN!$B$4,"LỖI LIÊN KẾT"))</f>
        <v/>
      </c>
      <c r="B32" s="53"/>
      <c r="C32" s="53" t="str">
        <f>IF(B32="","",IFERROR(VLOOKUP(B32,GIANG_VIEN!$A$4:$B$53,2,FALSE),""))</f>
        <v/>
      </c>
      <c r="D32" s="53"/>
      <c r="E32" s="53" t="str">
        <f>IF(D32="","",IFERROR(VLOOKUP(D32,DANH_MUC_LOP!$B$4:$C$15,2,FALSE),"LỖI LIÊN KẾT"))</f>
        <v/>
      </c>
      <c r="F32" s="85"/>
      <c r="G32" s="15"/>
    </row>
    <row r="33" ht="15.75" customHeight="1">
      <c r="A33" s="82" t="str">
        <f>IF(B33="","",IFERROR(DIEU_KHIEN!$B$4,"LỖI LIÊN KẾT"))</f>
        <v/>
      </c>
      <c r="B33" s="53"/>
      <c r="C33" s="53" t="str">
        <f>IF(B33="","",IFERROR(VLOOKUP(B33,GIANG_VIEN!$A$4:$B$53,2,FALSE),""))</f>
        <v/>
      </c>
      <c r="D33" s="53"/>
      <c r="E33" s="53" t="str">
        <f>IF(D33="","",IFERROR(VLOOKUP(D33,DANH_MUC_LOP!$B$4:$C$15,2,FALSE),"LỖI LIÊN KẾT"))</f>
        <v/>
      </c>
      <c r="F33" s="85"/>
      <c r="G33" s="15"/>
    </row>
    <row r="34" ht="15.75" customHeight="1">
      <c r="A34" s="82" t="str">
        <f>IF(B34="","",IFERROR(DIEU_KHIEN!$B$4,"LỖI LIÊN KẾT"))</f>
        <v/>
      </c>
      <c r="B34" s="53"/>
      <c r="C34" s="53" t="str">
        <f>IF(B34="","",IFERROR(VLOOKUP(B34,GIANG_VIEN!$A$4:$B$53,2,FALSE),""))</f>
        <v/>
      </c>
      <c r="D34" s="53"/>
      <c r="E34" s="53" t="str">
        <f>IF(D34="","",IFERROR(VLOOKUP(D34,DANH_MUC_LOP!$B$4:$C$15,2,FALSE),"LỖI LIÊN KẾT"))</f>
        <v/>
      </c>
      <c r="F34" s="85"/>
      <c r="G34" s="15"/>
    </row>
    <row r="35" ht="15.75" customHeight="1">
      <c r="A35" s="82" t="str">
        <f>IF(B35="","",IFERROR(DIEU_KHIEN!$B$4,"LỖI LIÊN KẾT"))</f>
        <v/>
      </c>
      <c r="B35" s="53"/>
      <c r="C35" s="53" t="str">
        <f>IF(B35="","",IFERROR(VLOOKUP(B35,GIANG_VIEN!$A$4:$B$53,2,FALSE),""))</f>
        <v/>
      </c>
      <c r="D35" s="53"/>
      <c r="E35" s="53" t="str">
        <f>IF(D35="","",IFERROR(VLOOKUP(D35,DANH_MUC_LOP!$B$4:$C$15,2,FALSE),"LỖI LIÊN KẾT"))</f>
        <v/>
      </c>
      <c r="F35" s="85"/>
      <c r="G35" s="15"/>
    </row>
    <row r="36" ht="15.75" customHeight="1">
      <c r="A36" s="82" t="str">
        <f>IF(B36="","",IFERROR(DIEU_KHIEN!$B$4,"LỖI LIÊN KẾT"))</f>
        <v/>
      </c>
      <c r="B36" s="53"/>
      <c r="C36" s="53" t="str">
        <f>IF(B36="","",IFERROR(VLOOKUP(B36,GIANG_VIEN!$A$4:$B$53,2,FALSE),""))</f>
        <v/>
      </c>
      <c r="D36" s="53"/>
      <c r="E36" s="53" t="str">
        <f>IF(D36="","",IFERROR(VLOOKUP(D36,DANH_MUC_LOP!$B$4:$C$15,2,FALSE),"LỖI LIÊN KẾT"))</f>
        <v/>
      </c>
      <c r="F36" s="85"/>
      <c r="G36" s="15"/>
    </row>
    <row r="37" ht="15.75" customHeight="1">
      <c r="A37" s="82" t="str">
        <f>IF(B37="","",IFERROR(DIEU_KHIEN!$B$4,"LỖI LIÊN KẾT"))</f>
        <v/>
      </c>
      <c r="B37" s="53"/>
      <c r="C37" s="53" t="str">
        <f>IF(B37="","",IFERROR(VLOOKUP(B37,GIANG_VIEN!$A$4:$B$53,2,FALSE),""))</f>
        <v/>
      </c>
      <c r="D37" s="53"/>
      <c r="E37" s="53" t="str">
        <f>IF(D37="","",IFERROR(VLOOKUP(D37,DANH_MUC_LOP!$B$4:$C$15,2,FALSE),"LỖI LIÊN KẾT"))</f>
        <v/>
      </c>
      <c r="F37" s="85"/>
      <c r="G37" s="15"/>
    </row>
    <row r="38" ht="15.75" customHeight="1">
      <c r="A38" s="82" t="str">
        <f>IF(B38="","",IFERROR(DIEU_KHIEN!$B$4,"LỖI LIÊN KẾT"))</f>
        <v/>
      </c>
      <c r="B38" s="53"/>
      <c r="C38" s="53" t="str">
        <f>IF(B38="","",IFERROR(VLOOKUP(B38,GIANG_VIEN!$A$4:$B$53,2,FALSE),""))</f>
        <v/>
      </c>
      <c r="D38" s="53"/>
      <c r="E38" s="53" t="str">
        <f>IF(D38="","",IFERROR(VLOOKUP(D38,DANH_MUC_LOP!$B$4:$C$15,2,FALSE),"LỖI LIÊN KẾT"))</f>
        <v/>
      </c>
      <c r="F38" s="85"/>
      <c r="G38" s="15"/>
    </row>
    <row r="39" ht="15.75" customHeight="1">
      <c r="A39" s="82" t="str">
        <f>IF(B39="","",IFERROR(DIEU_KHIEN!$B$4,"LỖI LIÊN KẾT"))</f>
        <v/>
      </c>
      <c r="B39" s="53"/>
      <c r="C39" s="53" t="str">
        <f>IF(B39="","",IFERROR(VLOOKUP(B39,GIANG_VIEN!$A$4:$B$53,2,FALSE),""))</f>
        <v/>
      </c>
      <c r="D39" s="53"/>
      <c r="E39" s="53" t="str">
        <f>IF(D39="","",IFERROR(VLOOKUP(D39,DANH_MUC_LOP!$B$4:$C$15,2,FALSE),"LỖI LIÊN KẾT"))</f>
        <v/>
      </c>
      <c r="F39" s="85"/>
      <c r="G39" s="15"/>
    </row>
    <row r="40" ht="15.75" customHeight="1">
      <c r="A40" s="82" t="str">
        <f>IF(B40="","",IFERROR(DIEU_KHIEN!$B$4,"LỖI LIÊN KẾT"))</f>
        <v/>
      </c>
      <c r="B40" s="53"/>
      <c r="C40" s="53" t="str">
        <f>IF(B40="","",IFERROR(VLOOKUP(B40,GIANG_VIEN!$A$4:$B$53,2,FALSE),""))</f>
        <v/>
      </c>
      <c r="D40" s="53"/>
      <c r="E40" s="53" t="str">
        <f>IF(D40="","",IFERROR(VLOOKUP(D40,DANH_MUC_LOP!$B$4:$C$15,2,FALSE),"LỖI LIÊN KẾT"))</f>
        <v/>
      </c>
      <c r="F40" s="85"/>
      <c r="G40" s="15"/>
    </row>
    <row r="41" ht="15.75" customHeight="1">
      <c r="A41" s="82" t="str">
        <f>IF(B41="","",IFERROR(DIEU_KHIEN!$B$4,"LỖI LIÊN KẾT"))</f>
        <v/>
      </c>
      <c r="B41" s="53"/>
      <c r="C41" s="53" t="str">
        <f>IF(B41="","",IFERROR(VLOOKUP(B41,GIANG_VIEN!$A$4:$B$53,2,FALSE),""))</f>
        <v/>
      </c>
      <c r="D41" s="53"/>
      <c r="E41" s="53" t="str">
        <f>IF(D41="","",IFERROR(VLOOKUP(D41,DANH_MUC_LOP!$B$4:$C$15,2,FALSE),"LỖI LIÊN KẾT"))</f>
        <v/>
      </c>
      <c r="F41" s="85"/>
      <c r="G41" s="15"/>
    </row>
    <row r="42" ht="15.75" customHeight="1">
      <c r="A42" s="82" t="str">
        <f>IF(B42="","",IFERROR(DIEU_KHIEN!$B$4,"LỖI LIÊN KẾT"))</f>
        <v/>
      </c>
      <c r="B42" s="53"/>
      <c r="C42" s="53" t="str">
        <f>IF(B42="","",IFERROR(VLOOKUP(B42,GIANG_VIEN!$A$4:$B$53,2,FALSE),""))</f>
        <v/>
      </c>
      <c r="D42" s="53"/>
      <c r="E42" s="53" t="str">
        <f>IF(D42="","",IFERROR(VLOOKUP(D42,DANH_MUC_LOP!$B$4:$C$15,2,FALSE),"LỖI LIÊN KẾT"))</f>
        <v/>
      </c>
      <c r="F42" s="85"/>
      <c r="G42" s="15"/>
    </row>
    <row r="43" ht="15.75" customHeight="1">
      <c r="A43" s="82" t="str">
        <f>IF(B43="","",IFERROR(DIEU_KHIEN!$B$4,"LỖI LIÊN KẾT"))</f>
        <v/>
      </c>
      <c r="B43" s="53"/>
      <c r="C43" s="53" t="str">
        <f>IF(B43="","",IFERROR(VLOOKUP(B43,GIANG_VIEN!$A$4:$B$53,2,FALSE),""))</f>
        <v/>
      </c>
      <c r="D43" s="53"/>
      <c r="E43" s="53" t="str">
        <f>IF(D43="","",IFERROR(VLOOKUP(D43,DANH_MUC_LOP!$B$4:$C$15,2,FALSE),"LỖI LIÊN KẾT"))</f>
        <v/>
      </c>
      <c r="F43" s="85"/>
      <c r="G43" s="15"/>
    </row>
    <row r="44" ht="15.75" customHeight="1">
      <c r="A44" s="82" t="str">
        <f>IF(B44="","",IFERROR(DIEU_KHIEN!$B$4,"LỖI LIÊN KẾT"))</f>
        <v/>
      </c>
      <c r="B44" s="53"/>
      <c r="C44" s="53" t="str">
        <f>IF(B44="","",IFERROR(VLOOKUP(B44,GIANG_VIEN!$A$4:$B$53,2,FALSE),""))</f>
        <v/>
      </c>
      <c r="D44" s="53"/>
      <c r="E44" s="53" t="str">
        <f>IF(D44="","",IFERROR(VLOOKUP(D44,DANH_MUC_LOP!$B$4:$C$15,2,FALSE),"LỖI LIÊN KẾT"))</f>
        <v/>
      </c>
      <c r="F44" s="85"/>
      <c r="G44" s="15"/>
    </row>
    <row r="45" ht="15.75" customHeight="1">
      <c r="A45" s="82" t="str">
        <f>IF(B45="","",IFERROR(DIEU_KHIEN!$B$4,"LỖI LIÊN KẾT"))</f>
        <v/>
      </c>
      <c r="B45" s="53"/>
      <c r="C45" s="53" t="str">
        <f>IF(B45="","",IFERROR(VLOOKUP(B45,GIANG_VIEN!$A$4:$B$53,2,FALSE),""))</f>
        <v/>
      </c>
      <c r="D45" s="53"/>
      <c r="E45" s="53" t="str">
        <f>IF(D45="","",IFERROR(VLOOKUP(D45,DANH_MUC_LOP!$B$4:$C$15,2,FALSE),"LỖI LIÊN KẾT"))</f>
        <v/>
      </c>
      <c r="F45" s="85"/>
      <c r="G45" s="15"/>
    </row>
    <row r="46" ht="15.75" customHeight="1">
      <c r="A46" s="82" t="str">
        <f>IF(B46="","",IFERROR(DIEU_KHIEN!$B$4,"LỖI LIÊN KẾT"))</f>
        <v/>
      </c>
      <c r="B46" s="53"/>
      <c r="C46" s="53" t="str">
        <f>IF(B46="","",IFERROR(VLOOKUP(B46,GIANG_VIEN!$A$4:$B$53,2,FALSE),""))</f>
        <v/>
      </c>
      <c r="D46" s="53"/>
      <c r="E46" s="53" t="str">
        <f>IF(D46="","",IFERROR(VLOOKUP(D46,DANH_MUC_LOP!$B$4:$C$15,2,FALSE),"LỖI LIÊN KẾT"))</f>
        <v/>
      </c>
      <c r="F46" s="85"/>
      <c r="G46" s="15"/>
    </row>
    <row r="47" ht="15.75" customHeight="1">
      <c r="A47" s="82" t="str">
        <f>IF(B47="","",IFERROR(DIEU_KHIEN!$B$4,"LỖI LIÊN KẾT"))</f>
        <v/>
      </c>
      <c r="B47" s="53"/>
      <c r="C47" s="53" t="str">
        <f>IF(B47="","",IFERROR(VLOOKUP(B47,GIANG_VIEN!$A$4:$B$53,2,FALSE),""))</f>
        <v/>
      </c>
      <c r="D47" s="53"/>
      <c r="E47" s="53" t="str">
        <f>IF(D47="","",IFERROR(VLOOKUP(D47,DANH_MUC_LOP!$B$4:$C$15,2,FALSE),"LỖI LIÊN KẾT"))</f>
        <v/>
      </c>
      <c r="F47" s="85"/>
      <c r="G47" s="15"/>
    </row>
    <row r="48" ht="15.75" customHeight="1">
      <c r="A48" s="82" t="str">
        <f>IF(B48="","",IFERROR(DIEU_KHIEN!$B$4,"LỖI LIÊN KẾT"))</f>
        <v/>
      </c>
      <c r="B48" s="53"/>
      <c r="C48" s="53" t="str">
        <f>IF(B48="","",IFERROR(VLOOKUP(B48,GIANG_VIEN!$A$4:$B$53,2,FALSE),""))</f>
        <v/>
      </c>
      <c r="D48" s="53"/>
      <c r="E48" s="53" t="str">
        <f>IF(D48="","",IFERROR(VLOOKUP(D48,DANH_MUC_LOP!$B$4:$C$15,2,FALSE),"LỖI LIÊN KẾT"))</f>
        <v/>
      </c>
      <c r="F48" s="85"/>
      <c r="G48" s="15"/>
    </row>
    <row r="49" ht="15.75" customHeight="1">
      <c r="A49" s="82" t="str">
        <f>IF(B49="","",IFERROR(DIEU_KHIEN!$B$4,"LỖI LIÊN KẾT"))</f>
        <v/>
      </c>
      <c r="B49" s="53"/>
      <c r="C49" s="53" t="str">
        <f>IF(B49="","",IFERROR(VLOOKUP(B49,GIANG_VIEN!$A$4:$B$53,2,FALSE),""))</f>
        <v/>
      </c>
      <c r="D49" s="53"/>
      <c r="E49" s="53" t="str">
        <f>IF(D49="","",IFERROR(VLOOKUP(D49,DANH_MUC_LOP!$B$4:$C$15,2,FALSE),"LỖI LIÊN KẾT"))</f>
        <v/>
      </c>
      <c r="F49" s="85"/>
      <c r="G49" s="15"/>
    </row>
    <row r="50" ht="15.75" customHeight="1">
      <c r="A50" s="82" t="str">
        <f>IF(B50="","",IFERROR(DIEU_KHIEN!$B$4,"LỖI LIÊN KẾT"))</f>
        <v/>
      </c>
      <c r="B50" s="53"/>
      <c r="C50" s="53" t="str">
        <f>IF(B50="","",IFERROR(VLOOKUP(B50,GIANG_VIEN!$A$4:$B$53,2,FALSE),""))</f>
        <v/>
      </c>
      <c r="D50" s="53"/>
      <c r="E50" s="53" t="str">
        <f>IF(D50="","",IFERROR(VLOOKUP(D50,DANH_MUC_LOP!$B$4:$C$15,2,FALSE),"LỖI LIÊN KẾT"))</f>
        <v/>
      </c>
      <c r="F50" s="85"/>
      <c r="G50" s="15"/>
    </row>
    <row r="51" ht="15.75" customHeight="1">
      <c r="A51" s="82" t="str">
        <f>IF(B51="","",IFERROR(DIEU_KHIEN!$B$4,"LỖI LIÊN KẾT"))</f>
        <v/>
      </c>
      <c r="B51" s="53"/>
      <c r="C51" s="53" t="str">
        <f>IF(B51="","",IFERROR(VLOOKUP(B51,GIANG_VIEN!$A$4:$B$53,2,FALSE),""))</f>
        <v/>
      </c>
      <c r="D51" s="53"/>
      <c r="E51" s="53" t="str">
        <f>IF(D51="","",IFERROR(VLOOKUP(D51,DANH_MUC_LOP!$B$4:$C$15,2,FALSE),"LỖI LIÊN KẾT"))</f>
        <v/>
      </c>
      <c r="F51" s="85"/>
      <c r="G51" s="15"/>
    </row>
    <row r="52" ht="15.75" customHeight="1">
      <c r="A52" s="82" t="str">
        <f>IF(B52="","",IFERROR(DIEU_KHIEN!$B$4,"LỖI LIÊN KẾT"))</f>
        <v/>
      </c>
      <c r="B52" s="53"/>
      <c r="C52" s="53" t="str">
        <f>IF(B52="","",IFERROR(VLOOKUP(B52,GIANG_VIEN!$A$4:$B$53,2,FALSE),""))</f>
        <v/>
      </c>
      <c r="D52" s="53"/>
      <c r="E52" s="53" t="str">
        <f>IF(D52="","",IFERROR(VLOOKUP(D52,DANH_MUC_LOP!$B$4:$C$15,2,FALSE),"LỖI LIÊN KẾT"))</f>
        <v/>
      </c>
      <c r="F52" s="85"/>
      <c r="G52" s="15"/>
    </row>
    <row r="53" ht="15.75" customHeight="1">
      <c r="A53" s="82" t="str">
        <f>IF(B53="","",IFERROR(DIEU_KHIEN!$B$4,"LỖI LIÊN KẾT"))</f>
        <v/>
      </c>
      <c r="B53" s="53"/>
      <c r="C53" s="53" t="str">
        <f>IF(B53="","",IFERROR(VLOOKUP(B53,GIANG_VIEN!$A$4:$B$53,2,FALSE),""))</f>
        <v/>
      </c>
      <c r="D53" s="53"/>
      <c r="E53" s="53" t="str">
        <f>IF(D53="","",IFERROR(VLOOKUP(D53,DANH_MUC_LOP!$B$4:$C$15,2,FALSE),"LỖI LIÊN KẾT"))</f>
        <v/>
      </c>
      <c r="F53" s="85"/>
      <c r="G53" s="15"/>
    </row>
    <row r="54" ht="15.75" customHeight="1">
      <c r="A54" s="82" t="str">
        <f>IF(B54="","",IFERROR(DIEU_KHIEN!$B$4,"LỖI LIÊN KẾT"))</f>
        <v/>
      </c>
      <c r="B54" s="53"/>
      <c r="C54" s="53" t="str">
        <f>IF(B54="","",IFERROR(VLOOKUP(B54,GIANG_VIEN!$A$4:$B$53,2,FALSE),""))</f>
        <v/>
      </c>
      <c r="D54" s="53"/>
      <c r="E54" s="53" t="str">
        <f>IF(D54="","",IFERROR(VLOOKUP(D54,DANH_MUC_LOP!$B$4:$C$15,2,FALSE),"LỖI LIÊN KẾT"))</f>
        <v/>
      </c>
      <c r="F54" s="85"/>
      <c r="G54" s="15"/>
    </row>
    <row r="55" ht="15.75" customHeight="1">
      <c r="A55" s="82" t="str">
        <f>IF(B55="","",IFERROR(DIEU_KHIEN!$B$4,"LỖI LIÊN KẾT"))</f>
        <v/>
      </c>
      <c r="B55" s="53"/>
      <c r="C55" s="53" t="str">
        <f>IF(B55="","",IFERROR(VLOOKUP(B55,GIANG_VIEN!$A$4:$B$53,2,FALSE),""))</f>
        <v/>
      </c>
      <c r="D55" s="53"/>
      <c r="E55" s="53" t="str">
        <f>IF(D55="","",IFERROR(VLOOKUP(D55,DANH_MUC_LOP!$B$4:$C$15,2,FALSE),"LỖI LIÊN KẾT"))</f>
        <v/>
      </c>
      <c r="F55" s="85"/>
      <c r="G55" s="15"/>
    </row>
    <row r="56" ht="15.75" customHeight="1">
      <c r="A56" s="82" t="str">
        <f>IF(B56="","",IFERROR(DIEU_KHIEN!$B$4,"LỖI LIÊN KẾT"))</f>
        <v/>
      </c>
      <c r="B56" s="53"/>
      <c r="C56" s="53" t="str">
        <f>IF(B56="","",IFERROR(VLOOKUP(B56,GIANG_VIEN!$A$4:$B$53,2,FALSE),""))</f>
        <v/>
      </c>
      <c r="D56" s="53"/>
      <c r="E56" s="53" t="str">
        <f>IF(D56="","",IFERROR(VLOOKUP(D56,DANH_MUC_LOP!$B$4:$C$15,2,FALSE),"LỖI LIÊN KẾT"))</f>
        <v/>
      </c>
      <c r="F56" s="85"/>
      <c r="G56" s="15"/>
    </row>
    <row r="57" ht="15.75" customHeight="1">
      <c r="A57" s="82" t="str">
        <f>IF(B57="","",IFERROR(DIEU_KHIEN!$B$4,"LỖI LIÊN KẾT"))</f>
        <v/>
      </c>
      <c r="B57" s="53"/>
      <c r="C57" s="53" t="str">
        <f>IF(B57="","",IFERROR(VLOOKUP(B57,GIANG_VIEN!$A$4:$B$53,2,FALSE),""))</f>
        <v/>
      </c>
      <c r="D57" s="53"/>
      <c r="E57" s="53" t="str">
        <f>IF(D57="","",IFERROR(VLOOKUP(D57,DANH_MUC_LOP!$B$4:$C$15,2,FALSE),"LỖI LIÊN KẾT"))</f>
        <v/>
      </c>
      <c r="F57" s="85"/>
      <c r="G57" s="15"/>
    </row>
    <row r="58" ht="15.75" customHeight="1">
      <c r="A58" s="82" t="str">
        <f>IF(B58="","",IFERROR(DIEU_KHIEN!$B$4,"LỖI LIÊN KẾT"))</f>
        <v/>
      </c>
      <c r="B58" s="53"/>
      <c r="C58" s="53" t="str">
        <f>IF(B58="","",IFERROR(VLOOKUP(B58,GIANG_VIEN!$A$4:$B$53,2,FALSE),""))</f>
        <v/>
      </c>
      <c r="D58" s="53"/>
      <c r="E58" s="53" t="str">
        <f>IF(D58="","",IFERROR(VLOOKUP(D58,DANH_MUC_LOP!$B$4:$C$15,2,FALSE),"LỖI LIÊN KẾT"))</f>
        <v/>
      </c>
      <c r="F58" s="85"/>
      <c r="G58" s="15"/>
    </row>
    <row r="59" ht="15.75" customHeight="1">
      <c r="A59" s="82" t="str">
        <f>IF(B59="","",IFERROR(DIEU_KHIEN!$B$4,"LỖI LIÊN KẾT"))</f>
        <v/>
      </c>
      <c r="B59" s="53"/>
      <c r="C59" s="53" t="str">
        <f>IF(B59="","",IFERROR(VLOOKUP(B59,GIANG_VIEN!$A$4:$B$53,2,FALSE),""))</f>
        <v/>
      </c>
      <c r="D59" s="53"/>
      <c r="E59" s="53" t="str">
        <f>IF(D59="","",IFERROR(VLOOKUP(D59,DANH_MUC_LOP!$B$4:$C$15,2,FALSE),"LỖI LIÊN KẾT"))</f>
        <v/>
      </c>
      <c r="F59" s="85"/>
      <c r="G59" s="15"/>
    </row>
    <row r="60" ht="15.75" customHeight="1">
      <c r="A60" s="82" t="str">
        <f>IF(B60="","",IFERROR(DIEU_KHIEN!$B$4,"LỖI LIÊN KẾT"))</f>
        <v/>
      </c>
      <c r="B60" s="53"/>
      <c r="C60" s="53" t="str">
        <f>IF(B60="","",IFERROR(VLOOKUP(B60,GIANG_VIEN!$A$4:$B$53,2,FALSE),""))</f>
        <v/>
      </c>
      <c r="D60" s="53"/>
      <c r="E60" s="53" t="str">
        <f>IF(D60="","",IFERROR(VLOOKUP(D60,DANH_MUC_LOP!$B$4:$C$15,2,FALSE),"LỖI LIÊN KẾT"))</f>
        <v/>
      </c>
      <c r="F60" s="85"/>
      <c r="G60" s="15"/>
    </row>
    <row r="61" ht="15.75" customHeight="1">
      <c r="A61" s="82" t="str">
        <f>IF(B61="","",IFERROR(DIEU_KHIEN!$B$4,"LỖI LIÊN KẾT"))</f>
        <v/>
      </c>
      <c r="B61" s="53"/>
      <c r="C61" s="53" t="str">
        <f>IF(B61="","",IFERROR(VLOOKUP(B61,GIANG_VIEN!$A$4:$B$53,2,FALSE),""))</f>
        <v/>
      </c>
      <c r="D61" s="53"/>
      <c r="E61" s="53" t="str">
        <f>IF(D61="","",IFERROR(VLOOKUP(D61,DANH_MUC_LOP!$B$4:$C$15,2,FALSE),"LỖI LIÊN KẾT"))</f>
        <v/>
      </c>
      <c r="F61" s="85"/>
      <c r="G61" s="15"/>
    </row>
    <row r="62" ht="15.75" customHeight="1">
      <c r="A62" s="82" t="str">
        <f>IF(B62="","",IFERROR(DIEU_KHIEN!$B$4,"LỖI LIÊN KẾT"))</f>
        <v/>
      </c>
      <c r="B62" s="53"/>
      <c r="C62" s="53" t="str">
        <f>IF(B62="","",IFERROR(VLOOKUP(B62,GIANG_VIEN!$A$4:$B$53,2,FALSE),""))</f>
        <v/>
      </c>
      <c r="D62" s="53"/>
      <c r="E62" s="53" t="str">
        <f>IF(D62="","",IFERROR(VLOOKUP(D62,DANH_MUC_LOP!$B$4:$C$15,2,FALSE),"LỖI LIÊN KẾT"))</f>
        <v/>
      </c>
      <c r="F62" s="85"/>
      <c r="G62" s="15"/>
    </row>
    <row r="63" ht="15.75" customHeight="1">
      <c r="A63" s="82" t="str">
        <f>IF(B63="","",IFERROR(DIEU_KHIEN!$B$4,"LỖI LIÊN KẾT"))</f>
        <v/>
      </c>
      <c r="B63" s="53"/>
      <c r="C63" s="53" t="str">
        <f>IF(B63="","",IFERROR(VLOOKUP(B63,GIANG_VIEN!$A$4:$B$53,2,FALSE),""))</f>
        <v/>
      </c>
      <c r="D63" s="53"/>
      <c r="E63" s="53" t="str">
        <f>IF(D63="","",IFERROR(VLOOKUP(D63,DANH_MUC_LOP!$B$4:$C$15,2,FALSE),"LỖI LIÊN KẾT"))</f>
        <v/>
      </c>
      <c r="F63" s="85"/>
      <c r="G63" s="15"/>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0.75" footer="0.0" header="0.0" left="0.7" right="0.7" top="0.75"/>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4.0"/>
    <col customWidth="1" min="3" max="3" width="38.0"/>
    <col customWidth="1" min="4" max="4" width="34.0"/>
    <col customWidth="1" min="5" max="26" width="8.63"/>
  </cols>
  <sheetData>
    <row r="1" ht="30.0" customHeight="1">
      <c r="A1" s="63" t="s">
        <v>151</v>
      </c>
    </row>
    <row r="2">
      <c r="A2" s="14"/>
      <c r="B2" s="14"/>
      <c r="C2" s="14"/>
      <c r="D2" s="14"/>
    </row>
    <row r="3" ht="27.75" customHeight="1">
      <c r="A3" s="5" t="s">
        <v>152</v>
      </c>
      <c r="B3" s="5" t="s">
        <v>153</v>
      </c>
      <c r="C3" s="5" t="s">
        <v>154</v>
      </c>
      <c r="D3" s="5" t="s">
        <v>155</v>
      </c>
    </row>
    <row r="4">
      <c r="A4" s="14" t="s">
        <v>380</v>
      </c>
      <c r="B4" s="14">
        <f>IFERROR(DIEU_KHIEN!$B$4,"LỖI LIÊN KẾT")</f>
        <v>46235</v>
      </c>
      <c r="C4" s="14" t="s">
        <v>381</v>
      </c>
      <c r="D4" s="14" t="s">
        <v>382</v>
      </c>
    </row>
    <row r="5">
      <c r="A5" s="14" t="s">
        <v>412</v>
      </c>
      <c r="B5" s="14" t="str">
        <f>IFERROR(VLOOKUP("L06",DANH_MUC_LOP!$B$4:$C$15,2,FALSE),"LỖI LIÊN KẾT")</f>
        <v>Lớp 6 Thầy Cường</v>
      </c>
      <c r="C5" s="14" t="s">
        <v>413</v>
      </c>
      <c r="D5" s="14" t="s">
        <v>414</v>
      </c>
    </row>
    <row r="6">
      <c r="A6" s="14" t="s">
        <v>33</v>
      </c>
      <c r="B6" s="14" t="str">
        <f>IF(OR(B4="",B5="",B4="LỖI LIÊN KẾT",B5="LỖI LIÊN KẾT"),"CẦN UPDATE LINK","OK")</f>
        <v>OK</v>
      </c>
      <c r="C6" s="14"/>
      <c r="D6" s="14" t="s">
        <v>386</v>
      </c>
    </row>
    <row r="7">
      <c r="A7" s="14"/>
      <c r="B7" s="14"/>
      <c r="C7" s="14"/>
      <c r="D7" s="14"/>
    </row>
    <row r="8">
      <c r="A8" s="14"/>
      <c r="B8" s="14"/>
      <c r="C8" s="14"/>
      <c r="D8" s="14"/>
    </row>
    <row r="9">
      <c r="A9" s="66" t="s">
        <v>179</v>
      </c>
      <c r="B9" s="66"/>
      <c r="C9" s="66"/>
      <c r="D9" s="66"/>
    </row>
    <row r="10">
      <c r="A10" s="14" t="s">
        <v>168</v>
      </c>
      <c r="B10" s="14" t="s">
        <v>184</v>
      </c>
      <c r="C10" s="14"/>
      <c r="D10" s="14"/>
    </row>
    <row r="11">
      <c r="A11" s="14" t="s">
        <v>170</v>
      </c>
      <c r="B11" s="14" t="s">
        <v>185</v>
      </c>
      <c r="C11" s="14"/>
      <c r="D11" s="14"/>
    </row>
    <row r="12">
      <c r="A12" s="65"/>
      <c r="B12" s="65"/>
      <c r="C12" s="65"/>
      <c r="D12" s="65"/>
    </row>
    <row r="13">
      <c r="A13" s="65"/>
      <c r="B13" s="65"/>
      <c r="C13" s="65"/>
      <c r="D13" s="65"/>
    </row>
    <row r="14">
      <c r="A14" s="65"/>
      <c r="B14" s="65"/>
      <c r="C14" s="65"/>
      <c r="D14" s="65"/>
    </row>
    <row r="15">
      <c r="A15" s="65"/>
      <c r="B15" s="65"/>
      <c r="C15" s="65"/>
      <c r="D15" s="65"/>
    </row>
    <row r="16">
      <c r="A16" s="65"/>
      <c r="B16" s="65"/>
      <c r="C16" s="65"/>
      <c r="D16" s="65"/>
    </row>
    <row r="17">
      <c r="A17" s="65"/>
      <c r="B17" s="65"/>
      <c r="C17" s="65"/>
      <c r="D17" s="65"/>
    </row>
    <row r="18">
      <c r="A18" s="65"/>
      <c r="B18" s="65"/>
      <c r="C18" s="65"/>
      <c r="D18" s="65"/>
    </row>
    <row r="19">
      <c r="A19" s="65"/>
      <c r="B19" s="65"/>
      <c r="C19" s="65"/>
      <c r="D19" s="65"/>
    </row>
    <row r="20">
      <c r="A20" s="65"/>
      <c r="B20" s="65"/>
      <c r="C20" s="65"/>
      <c r="D20" s="65"/>
    </row>
    <row r="21" ht="15.75" customHeight="1">
      <c r="A21" s="65"/>
      <c r="B21" s="65"/>
      <c r="C21" s="65"/>
      <c r="D21" s="65"/>
    </row>
    <row r="22" ht="15.75" customHeight="1">
      <c r="A22" s="65"/>
      <c r="B22" s="65"/>
      <c r="C22" s="65"/>
      <c r="D22" s="65"/>
    </row>
    <row r="23" ht="15.75" customHeight="1">
      <c r="A23" s="65"/>
      <c r="B23" s="65"/>
      <c r="C23" s="65"/>
      <c r="D23" s="65"/>
    </row>
    <row r="24" ht="15.75" customHeight="1">
      <c r="A24" s="65"/>
      <c r="B24" s="65"/>
      <c r="C24" s="65"/>
      <c r="D24" s="65"/>
    </row>
    <row r="25" ht="15.75" customHeight="1">
      <c r="A25" s="65"/>
      <c r="B25" s="65"/>
      <c r="C25" s="65"/>
      <c r="D25" s="65"/>
    </row>
    <row r="26" ht="15.75" customHeight="1">
      <c r="A26" s="65"/>
      <c r="B26" s="65"/>
      <c r="C26" s="65"/>
      <c r="D26" s="65"/>
    </row>
    <row r="27" ht="15.75" customHeight="1">
      <c r="A27" s="65"/>
      <c r="B27" s="65"/>
      <c r="C27" s="65"/>
      <c r="D27" s="65"/>
    </row>
    <row r="28" ht="15.75" customHeight="1">
      <c r="A28" s="65"/>
      <c r="B28" s="65"/>
      <c r="C28" s="65"/>
      <c r="D28" s="65"/>
    </row>
    <row r="29" ht="15.75" customHeight="1">
      <c r="A29" s="65"/>
      <c r="B29" s="65"/>
      <c r="C29" s="65"/>
      <c r="D29" s="65"/>
    </row>
    <row r="30" ht="15.75" customHeight="1">
      <c r="A30" s="65"/>
      <c r="B30" s="65"/>
      <c r="C30" s="65"/>
      <c r="D30" s="6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conditionalFormatting sqref="D4:D30">
    <cfRule type="expression" dxfId="0" priority="1">
      <formula>OR(D4="OK",D4="PASS",D4="Đạt")</formula>
    </cfRule>
  </conditionalFormatting>
  <conditionalFormatting sqref="D4:D30">
    <cfRule type="expression" dxfId="1" priority="2">
      <formula>OR(D4="LỖI",D4="FAIL",D4="Cần kiểm tra")</formula>
    </cfRule>
  </conditionalFormatting>
  <printOptions/>
  <pageMargins bottom="0.75" footer="0.0" header="0.0" left="0.7" right="0.7" top="0.75"/>
  <pageSetup orientation="landscape"/>
  <drawing r:id="rId1"/>
</worksheet>
</file>